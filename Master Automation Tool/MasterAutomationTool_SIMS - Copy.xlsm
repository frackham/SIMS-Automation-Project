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fileRecoveryPr repairLoad="1"/>
</workbook>
</file>

<file path=xl/calcChain.xml><?xml version="1.0" encoding="utf-8"?>
<calcChain xmlns="http://schemas.openxmlformats.org/spreadsheetml/2006/main">
  <c r="C3" i="165" l="1"/>
  <c r="J21" i="21"/>
  <c r="J20" i="21"/>
  <c r="J19" i="21"/>
  <c r="B45" i="21" s="1"/>
  <c r="J17" i="21"/>
  <c r="J16" i="21"/>
  <c r="J15" i="21"/>
  <c r="L18" i="21" s="1"/>
  <c r="J18" i="21" s="1"/>
  <c r="C18" i="21" l="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<sst xmlns="http://schemas.openxmlformats.org/spreadsheetml/2006/main" count="227" uniqueCount="178">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</sst>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2">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B5" zoomScale="70" zoomScaleNormal="70" workbookViewId="0">
      <selection activeCell="D9" sqref="D9"/>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67" t="s">
        <v>40</v>
      </c>
      <c r="B14" s="67"/>
      <c r="E14" s="5"/>
      <c r="F14" s="5"/>
      <c r="G14" s="5"/>
      <c r="H14" s="5"/>
      <c r="I14" s="5"/>
      <c r="J14" s="15"/>
    </row>
    <row r="15" spans="1:15" x14ac:dyDescent="0.25">
      <c r="A15" s="47" t="s">
        <v>109</v>
      </c>
      <c r="B15" s="47" t="s">
        <v>111</v>
      </c>
      <c r="C15" s="47" t="s">
        <v>123</v>
      </c>
      <c r="E15" s="5"/>
      <c r="F15" s="5"/>
      <c r="G15" s="5"/>
      <c r="H15" s="5"/>
      <c r="I15" s="38" t="s">
        <v>74</v>
      </c>
      <c r="J15" s="16">
        <f ca="1">TODAY()</f>
        <v>42741</v>
      </c>
    </row>
    <row r="16" spans="1:15" ht="14.45" customHeight="1" x14ac:dyDescent="0.25">
      <c r="A16" s="6" t="s">
        <v>91</v>
      </c>
      <c r="B16" s="6" t="s">
        <v>91</v>
      </c>
      <c r="C16" s="6" t="s">
        <v>91</v>
      </c>
      <c r="I16" s="13" t="s">
        <v>117</v>
      </c>
      <c r="J16" s="16">
        <f ca="1">TODAY()-7</f>
        <v>42734</v>
      </c>
      <c r="O16" s="7"/>
    </row>
    <row r="17" spans="1:20" x14ac:dyDescent="0.25">
      <c r="A17" s="17" t="s">
        <v>95</v>
      </c>
      <c r="B17" s="17" t="s">
        <v>95</v>
      </c>
      <c r="C17" s="17" t="s">
        <v>95</v>
      </c>
      <c r="I17" s="13" t="s">
        <v>116</v>
      </c>
      <c r="J17" s="16">
        <f ca="1">CHOOSE(WEEKDAY(TODAY(),2),TODAY()-3,TODAY()-1,TODAY()-1,TODAY()-1,TODAY()-1,TODAY()-1,TODAY()-2)</f>
        <v>42740</v>
      </c>
      <c r="L17" s="7"/>
    </row>
    <row r="18" spans="1:20" x14ac:dyDescent="0.25">
      <c r="A18" s="8" t="s">
        <v>135</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115</v>
      </c>
      <c r="J19" s="16">
        <f ca="1">TODAY()-30</f>
        <v>42711</v>
      </c>
    </row>
    <row r="20" spans="1:20" x14ac:dyDescent="0.25">
      <c r="A20" s="54" t="s">
        <v>124</v>
      </c>
      <c r="B20" s="47" t="s">
        <v>125</v>
      </c>
      <c r="C20" s="47" t="s">
        <v>112</v>
      </c>
      <c r="I20" s="13" t="s">
        <v>114</v>
      </c>
      <c r="J20" s="16">
        <f ca="1">TODAY()-14</f>
        <v>42727</v>
      </c>
    </row>
    <row r="21" spans="1:20" ht="14.45" customHeight="1" x14ac:dyDescent="0.25">
      <c r="A21" s="6" t="s">
        <v>91</v>
      </c>
      <c r="B21" s="6" t="s">
        <v>91</v>
      </c>
      <c r="C21" s="6" t="s">
        <v>91</v>
      </c>
      <c r="I21" s="13" t="s">
        <v>113</v>
      </c>
      <c r="J21" s="51">
        <f ca="1">TODAY()+7</f>
        <v>42748</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7" t="s">
        <v>132</v>
      </c>
      <c r="B31" s="67"/>
      <c r="I31" t="s">
        <v>177</v>
      </c>
      <c r="J31" s="66">
        <v>42741.85056712963</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8" t="s">
        <v>72</v>
      </c>
      <c r="B49" s="68"/>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9"/>
      <c r="B117" s="69"/>
    </row>
    <row r="118" spans="1:2" ht="15" customHeight="1" x14ac:dyDescent="0.25">
      <c r="A118" s="71"/>
      <c r="B118" s="71"/>
    </row>
    <row r="119" spans="1:2" x14ac:dyDescent="0.25">
      <c r="A119" s="69"/>
      <c r="B119" s="69"/>
    </row>
    <row r="120" spans="1:2" x14ac:dyDescent="0.25">
      <c r="A120" s="69"/>
      <c r="B120" s="69"/>
    </row>
    <row r="121" spans="1:2" x14ac:dyDescent="0.25">
      <c r="A121" s="69"/>
      <c r="B121" s="69"/>
    </row>
    <row r="122" spans="1:2" x14ac:dyDescent="0.25">
      <c r="A122" s="70"/>
      <c r="B122" s="70"/>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162</v>
      </c>
      <c r="B1" s="60" t="s">
        <v>161</v>
      </c>
      <c r="C1" s="61" t="s">
        <v>169</v>
      </c>
      <c r="D1" s="61" t="s">
        <v>170</v>
      </c>
      <c r="E1" s="61" t="s">
        <v>165</v>
      </c>
      <c r="F1" s="61" t="s">
        <v>166</v>
      </c>
      <c r="G1" s="61" t="s">
        <v>167</v>
      </c>
      <c r="H1" s="60" t="s">
        <v>168</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172</v>
      </c>
      <c r="B1" t="s">
        <v>173</v>
      </c>
      <c r="C1" t="s">
        <v>174</v>
      </c>
      <c r="D1" t="s">
        <v>175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2017-01-06T20:24:49Z</dcterms:modified>
</cp:coreProperties>
</file>