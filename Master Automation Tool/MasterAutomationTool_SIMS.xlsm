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<sst xmlns="http://schemas.openxmlformats.org/spreadsheetml/2006/main" count="1208" uniqueCount="215">
  <si>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</si>
  <si>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</si>
  <si>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</si>
  <si>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</si>
  <si>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</si>
  <si>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</si>
  <si>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</si>
  <si>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</si>
  <si>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</si>
  <si>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</si>
  <si>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</si>
  <si>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</si>
  <si>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</si>
  <si>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</si>
  <si>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</si>
  <si>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</si>
  <si>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</si>
  <si>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</si>
  <si>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</si>
  <si>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</si>
  <si>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</si>
  <si>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</si>
  <si>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</si>
  <si>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</si>
  <si>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</si>
  <si>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</si>
  <si>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</si>
  <si>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</si>
  <si>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</si>
  <si>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</si>
  <si>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</si>
  <si>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</si>
  <si>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</si>
  <si>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</si>
  <si>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</si>
  <si>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</si>
  <si>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</si>
  <si>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</si>
  <si>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</si>
  <si>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</si>
  <si>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</si>
  <si>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</si>
  <si>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</si>
  <si>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</si>
  <si>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</si>
  <si>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</si>
  <si>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</si>
  <si>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</si>
  <si>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</si>
  <si>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</si>
  <si>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</si>
  <si>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</si>
  <si>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</si>
  <si>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</si>
  <si>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</si>
  <si>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</si>
  <si>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</si>
  <si>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</si>
  <si>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</si>
  <si>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</si>
  <si>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</si>
  <si>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</si>
  <si>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</si>
  <si>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</si>
  <si>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</si>
  <si>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</si>
  <si>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</si>
  <si>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</si>
  <si>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</si>
  <si>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</si>
  <si>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</si>
  <si>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</si>
  <si>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</si>
  <si>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</si>
  <si>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</si>
  <si>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</si>
  <si>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</si>
  <si>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</si>
  <si>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</si>
  <si>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</si>
  <si>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</si>
  <si>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</si>
  <si>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</si>
  <si>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</si>
  <si>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</si>
  <si>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</si>
  <si>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</si>
  <si>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</si>
  <si>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</si>
  <si>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</si>
  <si>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</si>
  <si>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</si>
  <si>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</si>
  <si>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</si>
  <si>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</si>
  <si>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</si>
  <si>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</si>
  <si>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</si>
  <si>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</si>
  <si>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</si>
  <si>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</si>
  <si>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</si>
  <si>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</si>
  <si>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</si>
  <si>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</si>
  <si>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</si>
  <si>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</si>
  <si>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</si>
  <si>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</si>
  <si>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</si>
  <si>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</si>
  <si>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</si>
  <si>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</si>
  <si>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</si>
  <si>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</si>
  <si>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</si>
  <si>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</si>
  <si>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</si>
  <si>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</si>
  <si>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</si>
  <si>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</si>
  <si>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</si>
  <si>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</si>
  <si>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</si>
  <si>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</si>
  <si>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</si>
  <si>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</si>
  <si>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</si>
  <si>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</si>
  <si>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</si>
  <si>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</si>
  <si>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</si>
  <si>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</si>
  <si>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</si>
  <si>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</si>
  <si>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</si>
  <si>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</si>
  <si>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</si>
  <si>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</si>
  <si>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</si>
  <si>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</si>
  <si>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</si>
  <si>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</si>
  <si>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</si>
  <si>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</si>
  <si>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</si>
  <si>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</si>
  <si>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</si>
  <si>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</si>
  <si>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</si>
  <si>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</si>
  <si>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</si>
  <si>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</si>
  <si>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</si>
  <si>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</si>
  <si>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</si>
  <si>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</si>
  <si>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</si>
  <si>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</si>
  <si>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</si>
  <si>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</si>
  <si>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</si>
  <si>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</si>
  <si>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</si>
  <si>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</si>
  <si>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</si>
  <si>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</si>
  <si>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</si>
  <si>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</si>
  <si>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</si>
  <si>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</si>
  <si>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</si>
  <si>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</si>
  <si>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</si>
  <si>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</si>
  <si>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</si>
  <si>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</si>
  <si>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</si>
  <si>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</si>
  <si>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</si>
  <si>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</si>
  <si>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</si>
  <si>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</si>
  <si>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</si>
  <si>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</si>
  <si>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</si>
  <si>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</si>
  <si>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</si>
  <si>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</si>
  <si>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</si>
  <si>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</si>
  <si>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</si>
  <si>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</si>
  <si>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</si>
  <si>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</si>
  <si>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</si>
  <si>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</si>
  <si>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</si>
  <si>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</si>
  <si>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</si>
  <si>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</si>
  <si>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</si>
  <si>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</si>
  <si>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</si>
  <si>
    <t>True, should import.</t>
  </si>
  <si>
    <t>UpdateCodeInModule</t>
  </si>
  <si>
    <t>Module:= BarlowProcesses. Deleted code and updated module from file</t>
  </si>
  <si>
    <t>Module:= CommandLineHandler. Deleted code and updated module from file</t>
  </si>
  <si>
    <t>Module:= DebugHelpers. Deleted code and updated module from file</t>
  </si>
  <si>
    <t>Module:= Module1. Deleted code and updated module from file</t>
  </si>
  <si>
    <t>Module:= Module2. Deleted code and updated module from file</t>
  </si>
  <si>
    <t>Module:= QueueItem. Deleted code and updated module from file</t>
  </si>
  <si>
    <t>Module:= QueueManager. Deleted code and updated module from file</t>
  </si>
  <si>
    <t>0 files failed to export, 14 files exported to C:\_Dropbox\Dropbox\Git\SIMS Automation Project\SIMS-Automation-Project\Master Automation Tool\_src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</si>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</sst>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7">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xf numFmtId="165" fontId="0" fillId="6" borderId="0" xfId="0" applyNumberFormat="1" applyFill="1"/>
    <xf numFmtId="0" fontId="23" fillId="6" borderId="0" xfId="0" applyFont="1" applyFill="1"/>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25" sqref="K25"/>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0" t="s">
        <v>40</v>
      </c>
      <c r="B14" s="70"/>
      <c r="E14" s="5"/>
      <c r="F14" s="5"/>
      <c r="G14" s="5"/>
      <c r="H14" s="5"/>
      <c r="I14" s="5"/>
      <c r="J14" s="15"/>
    </row>
    <row r="15" spans="1:15" x14ac:dyDescent="0.25">
      <c r="A15" s="47" t="s">
        <v>109</v>
      </c>
      <c r="B15" s="47" t="s">
        <v>111</v>
      </c>
      <c r="C15" s="47" t="s">
        <v>123</v>
      </c>
      <c r="E15" s="5"/>
      <c r="F15" s="5"/>
      <c r="G15" s="5"/>
      <c r="H15" s="5"/>
      <c r="I15" s="38" t="s">
        <v>74</v>
      </c>
      <c r="J15" s="16">
        <f ca="1">TODAY()</f>
        <v>42746</v>
      </c>
    </row>
    <row r="16" spans="1:15" ht="14.45" customHeight="1" x14ac:dyDescent="0.25">
      <c r="A16" s="6" t="s">
        <v>91</v>
      </c>
      <c r="B16" s="6" t="s">
        <v>91</v>
      </c>
      <c r="C16" s="6" t="s">
        <v>91</v>
      </c>
      <c r="I16" s="13" t="s">
        <v>117</v>
      </c>
      <c r="J16" s="16">
        <f ca="1">TODAY()-7</f>
        <v>42739</v>
      </c>
      <c r="O16" s="7"/>
    </row>
    <row r="17" spans="1:20" x14ac:dyDescent="0.25">
      <c r="A17" s="17" t="s">
        <v>95</v>
      </c>
      <c r="B17" s="17" t="s">
        <v>95</v>
      </c>
      <c r="C17" s="17" t="s">
        <v>95</v>
      </c>
      <c r="I17" s="13" t="s">
        <v>116</v>
      </c>
      <c r="J17" s="16">
        <f ca="1">CHOOSE(WEEKDAY(TODAY(),2),TODAY()-3,TODAY()-1,TODAY()-1,TODAY()-1,TODAY()-1,TODAY()-1,TODAY()-2)</f>
        <v>42745</v>
      </c>
      <c r="L17" s="7"/>
    </row>
    <row r="18" spans="1:20" x14ac:dyDescent="0.25">
      <c r="A18" s="8" t="s">
        <v>135</v>
      </c>
      <c r="B18" s="8" t="str">
        <f ca="1">"&lt;Start&gt;" &amp; TEXT($J$19, "yyyy-mm-dd") &amp;"&lt;/Start&gt;&lt;End&gt;"&amp; TEXT( $J$15,"yyyy-mm-dd") &amp;"&lt;/End&gt;"</f>
        <v>&lt;Start&gt;2016-12-12&lt;/Start&gt;&lt;End&gt;2017-01-11&lt;/End&gt;</v>
      </c>
      <c r="C18" s="8" t="str">
        <f ca="1">"&lt;Start&gt;" &amp; TEXT($J$16, "yyyy-mm-dd") &amp;"&lt;/Start&gt;&lt;End&gt;"&amp; TEXT( $J$15,"yyyy-mm-dd") &amp;"&lt;/End&gt;"</f>
        <v>&lt;Start&gt;2017-01-04&lt;/Start&gt;&lt;End&gt;2017-01-11&lt;/End&gt;</v>
      </c>
      <c r="I18" s="38" t="s">
        <v>73</v>
      </c>
      <c r="J18" s="39">
        <f ca="1">DATE(L18, 9, 1)</f>
        <v>42614</v>
      </c>
      <c r="K18" s="48" t="s">
        <v>89</v>
      </c>
      <c r="L18" s="49">
        <f ca="1">IF(MONTH(J15)&gt;=9, YEAR(J15), YEAR(J15)-1)</f>
        <v>2016</v>
      </c>
    </row>
    <row r="19" spans="1:20" x14ac:dyDescent="0.25">
      <c r="A19" s="9"/>
      <c r="B19" s="9"/>
      <c r="I19" s="13" t="s">
        <v>115</v>
      </c>
      <c r="J19" s="16">
        <f ca="1">TODAY()-30</f>
        <v>42716</v>
      </c>
    </row>
    <row r="20" spans="1:20" x14ac:dyDescent="0.25">
      <c r="A20" s="54" t="s">
        <v>124</v>
      </c>
      <c r="B20" s="47" t="s">
        <v>125</v>
      </c>
      <c r="C20" s="47" t="s">
        <v>112</v>
      </c>
      <c r="I20" s="13" t="s">
        <v>114</v>
      </c>
      <c r="J20" s="16">
        <f ca="1">TODAY()-14</f>
        <v>42732</v>
      </c>
    </row>
    <row r="21" spans="1:20" ht="14.45" customHeight="1" x14ac:dyDescent="0.25">
      <c r="A21" s="6" t="s">
        <v>91</v>
      </c>
      <c r="B21" s="6" t="s">
        <v>91</v>
      </c>
      <c r="C21" s="6" t="s">
        <v>91</v>
      </c>
      <c r="I21" s="13" t="s">
        <v>113</v>
      </c>
      <c r="J21" s="51">
        <f ca="1">TODAY()+7</f>
        <v>42753</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&lt;Start&gt;2017-01-04&lt;/Start&gt;&lt;End&gt;2017-01-11&lt;/End&gt;</v>
      </c>
      <c r="C23" s="8" t="str">
        <f ca="1">"&lt;Start&gt;" &amp; TEXT($J$19, "yyyy-mm-dd") &amp;"&lt;/Start&gt;&lt;End&gt;"&amp; TEXT( $J$15,"yyyy-mm-dd") &amp;"&lt;/End&gt;"</f>
        <v>&lt;Start&gt;2016-12-12&lt;/Start&gt;&lt;End&gt;2017-01-11&lt;/End&gt;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&lt;Start&gt;2016-09-01&lt;/Start&gt;&lt;End&gt;2017-01-11&lt;/End&gt;</v>
      </c>
      <c r="B28" s="8" t="str">
        <f ca="1">"&lt;Start&gt;" &amp; TEXT($J$19, "yyyy-mm-dd") &amp;"&lt;/Start&gt;&lt;End&gt;"&amp; TEXT( $J$15,"yyyy-mm-dd") &amp;"&lt;/End&gt;"</f>
        <v>&lt;Start&gt;2016-12-12&lt;/Start&gt;&lt;End&gt;2017-01-11&lt;/End&gt;</v>
      </c>
      <c r="C28" s="8" t="str">
        <f ca="1">"&lt;Start&gt;" &amp; TEXT($J$16, "yyyy-mm-dd") &amp;"&lt;/Start&gt;&lt;End&gt;"&amp; TEXT( $J$15,"yyyy-mm-dd") &amp;"&lt;/End&gt;"</f>
        <v>&lt;Start&gt;2017-01-04&lt;/Start&gt;&lt;End&gt;2017-01-11&lt;/End&gt;</v>
      </c>
    </row>
    <row r="29" spans="1:20" x14ac:dyDescent="0.25">
      <c r="A29" s="9"/>
      <c r="B29" s="9"/>
    </row>
    <row r="31" spans="1:20" x14ac:dyDescent="0.25">
      <c r="A31" s="70" t="s">
        <v>132</v>
      </c>
      <c r="B31" s="70"/>
      <c r="I31" t="s">
        <v>177</v>
      </c>
      <c r="J31" s="66">
        <v>42744.776284722226</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&lt;Start&gt;2016-12-12&lt;/Start&gt;&lt;End&gt;2017-01-11&lt;/End&gt;</v>
      </c>
      <c r="B35" s="8" t="str">
        <f ca="1">"&lt;Start&gt;" &amp; TEXT($J$19, "yyyy-mm-dd") &amp;"&lt;/Start&gt;&lt;End&gt;"&amp; TEXT( $J$15,"yyyy-mm-dd") &amp;"&lt;/End&gt;"</f>
        <v>&lt;Start&gt;2016-12-12&lt;/Start&gt;&lt;End&gt;2017-01-11&lt;/End&gt;</v>
      </c>
      <c r="C35" s="8" t="str">
        <f ca="1">"&lt;Start&gt;" &amp; TEXT($J$19, "yyyy-mm-dd") &amp;"&lt;/Start&gt;&lt;End&gt;"&amp; TEXT( $J$15,"yyyy-mm-dd") &amp;"&lt;/End&gt;"</f>
        <v>&lt;Start&gt;2016-12-12&lt;/Start&gt;&lt;End&gt;2017-01-11&lt;/End&gt;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&lt;Start&gt;2016-12-12&lt;/Start&gt;&lt;End&gt;2017-01-11&lt;/End&gt;</v>
      </c>
      <c r="B40" s="8" t="str">
        <f ca="1">"&lt;Start&gt;" &amp; TEXT($J$19, "yyyy-mm-dd") &amp;"&lt;/Start&gt;&lt;End&gt;"&amp; TEXT( $J$15,"yyyy-mm-dd") &amp;"&lt;/End&gt;"</f>
        <v>&lt;Start&gt;2016-12-12&lt;/Start&gt;&lt;End&gt;2017-01-11&lt;/End&gt;</v>
      </c>
      <c r="C40" s="8" t="str">
        <f ca="1">"&lt;Start&gt;" &amp; TEXT($J$19, "yyyy-mm-dd") &amp;"&lt;/Start&gt;&lt;End&gt;"&amp; TEXT( $J$15,"yyyy-mm-dd") &amp;"&lt;/End&gt;"</f>
        <v>&lt;Start&gt;2016-12-12&lt;/Start&gt;&lt;End&gt;2017-01-11&lt;/End&gt;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&lt;Start&gt;2016-09-01&lt;/Start&gt;&lt;End&gt;2017-01-11&lt;/End&gt;</v>
      </c>
      <c r="B45" s="8" t="str">
        <f ca="1">"&lt;Start&gt;" &amp; TEXT($J$19, "yyyy-mm-dd") &amp;"&lt;/Start&gt;&lt;End&gt;"&amp; TEXT( $J$15,"yyyy-mm-dd") &amp;"&lt;/End&gt;"</f>
        <v>&lt;Start&gt;2016-12-12&lt;/Start&gt;&lt;End&gt;2017-01-11&lt;/End&gt;</v>
      </c>
      <c r="C45" s="8" t="str">
        <f ca="1">"&lt;Start&gt;" &amp; TEXT($J$19, "yyyy-mm-dd") &amp;"&lt;/Start&gt;&lt;End&gt;"&amp; TEXT( $J$15,"yyyy-mm-dd") &amp;"&lt;/End&gt;"</f>
        <v>&lt;Start&gt;2016-12-12&lt;/Start&gt;&lt;End&gt;2017-01-11&lt;/End&gt;</v>
      </c>
    </row>
    <row r="46" spans="1:9" x14ac:dyDescent="0.25">
      <c r="A46" s="9"/>
      <c r="B46" s="9"/>
    </row>
    <row r="47" spans="1:9" x14ac:dyDescent="0.25">
      <c r="A47" s="1"/>
    </row>
    <row r="48" spans="1:9" x14ac:dyDescent="0.25">
      <c r="A48" s="1"/>
    </row>
    <row r="49" spans="1:15" x14ac:dyDescent="0.25">
      <c r="A49" s="71" t="s">
        <v>72</v>
      </c>
      <c r="B49" s="71"/>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2"/>
      <c r="B117" s="72"/>
    </row>
    <row r="118" spans="1:2" ht="15" customHeight="1" x14ac:dyDescent="0.25">
      <c r="A118" s="74"/>
      <c r="B118" s="74"/>
    </row>
    <row r="119" spans="1:2" x14ac:dyDescent="0.25">
      <c r="A119" s="72"/>
      <c r="B119" s="72"/>
    </row>
    <row r="120" spans="1:2" x14ac:dyDescent="0.25">
      <c r="A120" s="72"/>
      <c r="B120" s="72"/>
    </row>
    <row r="121" spans="1:2" x14ac:dyDescent="0.25">
      <c r="A121" s="72"/>
      <c r="B121" s="72"/>
    </row>
    <row r="122" spans="1:2" x14ac:dyDescent="0.25">
      <c r="A122" s="73"/>
      <c r="B122" s="73"/>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331"/>
  <sheetViews>
    <sheetView tabSelected="1" topLeftCell="A310" workbookViewId="0">
      <selection activeCell="E312" sqref="E312"/>
    </sheetView>
  </sheetViews>
  <sheetFormatPr defaultRowHeight="15" x14ac:dyDescent="0.25"/>
  <cols>
    <col min="1" max="1" width="4.5703125" customWidth="1"/>
    <col min="2" max="2" width="19.5703125" customWidth="1"/>
    <col min="3" max="3" width="33.5703125" customWidth="1"/>
    <col min="4" max="4" width="79.425781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row r="230" spans="1:5" x14ac:dyDescent="0.25">
      <c r="A230">
        <v>229</v>
      </c>
      <c r="B230" s="67">
        <v>43040.347557870373</v>
      </c>
      <c r="C230" t="s">
        <v>198</v>
      </c>
      <c r="D230" s="58" t="s">
        <v>182</v>
      </c>
      <c r="E230" s="58" t="s">
        <v>191</v>
      </c>
    </row>
    <row r="231" spans="1:5" x14ac:dyDescent="0.25">
      <c r="A231">
        <v>230</v>
      </c>
      <c r="B231" s="67">
        <v>43040.347557870373</v>
      </c>
      <c r="C231" t="s">
        <v>192</v>
      </c>
      <c r="D231" s="58" t="s">
        <v>182</v>
      </c>
      <c r="E231" s="58" t="s">
        <v>191</v>
      </c>
    </row>
    <row r="232" spans="1:5" x14ac:dyDescent="0.25">
      <c r="A232">
        <v>231</v>
      </c>
      <c r="B232" s="67">
        <v>43040.347557870373</v>
      </c>
      <c r="C232" t="s">
        <v>184</v>
      </c>
      <c r="D232" s="58" t="s">
        <v>182</v>
      </c>
      <c r="E232" s="58" t="s">
        <v>204</v>
      </c>
    </row>
    <row r="233" spans="1:5" x14ac:dyDescent="0.25">
      <c r="A233">
        <v>232</v>
      </c>
      <c r="B233" s="67">
        <v>43040.347604166665</v>
      </c>
      <c r="C233" t="s">
        <v>205</v>
      </c>
      <c r="D233" s="58" t="s">
        <v>206</v>
      </c>
      <c r="E233" s="58" t="s">
        <v>182</v>
      </c>
    </row>
    <row r="234" spans="1:5" x14ac:dyDescent="0.25">
      <c r="A234">
        <v>233</v>
      </c>
      <c r="B234" s="67">
        <v>43040.347604166665</v>
      </c>
      <c r="C234" t="s">
        <v>205</v>
      </c>
      <c r="D234" s="58" t="s">
        <v>207</v>
      </c>
      <c r="E234" s="58" t="s">
        <v>182</v>
      </c>
    </row>
    <row r="235" spans="1:5" x14ac:dyDescent="0.25">
      <c r="A235">
        <v>234</v>
      </c>
      <c r="B235" s="67">
        <v>43040.347604166665</v>
      </c>
      <c r="C235" t="s">
        <v>205</v>
      </c>
      <c r="D235" s="58" t="s">
        <v>208</v>
      </c>
      <c r="E235" s="58" t="s">
        <v>182</v>
      </c>
    </row>
    <row r="236" spans="1:5" x14ac:dyDescent="0.25">
      <c r="A236">
        <v>235</v>
      </c>
      <c r="B236" s="67">
        <v>43040.347604166665</v>
      </c>
      <c r="C236" t="s">
        <v>205</v>
      </c>
      <c r="D236" s="58" t="s">
        <v>209</v>
      </c>
      <c r="E236" s="58" t="s">
        <v>182</v>
      </c>
    </row>
    <row r="237" spans="1:5" x14ac:dyDescent="0.25">
      <c r="A237">
        <v>236</v>
      </c>
      <c r="B237" s="67">
        <v>43040.347604166665</v>
      </c>
      <c r="C237" t="s">
        <v>205</v>
      </c>
      <c r="D237" s="58" t="s">
        <v>210</v>
      </c>
      <c r="E237" s="58" t="s">
        <v>182</v>
      </c>
    </row>
    <row r="238" spans="1:5" x14ac:dyDescent="0.25">
      <c r="A238">
        <v>237</v>
      </c>
      <c r="B238" s="67">
        <v>43040.347604166665</v>
      </c>
      <c r="C238" t="s">
        <v>205</v>
      </c>
      <c r="D238" s="58" t="s">
        <v>211</v>
      </c>
      <c r="E238" s="58" t="s">
        <v>182</v>
      </c>
    </row>
    <row r="239" spans="1:5" x14ac:dyDescent="0.25">
      <c r="A239">
        <v>238</v>
      </c>
      <c r="B239" s="67">
        <v>43040.347604166665</v>
      </c>
      <c r="C239" t="s">
        <v>205</v>
      </c>
      <c r="D239" s="58" t="s">
        <v>212</v>
      </c>
      <c r="E239" s="58" t="s">
        <v>182</v>
      </c>
    </row>
    <row r="240" spans="1:5" x14ac:dyDescent="0.25">
      <c r="A240">
        <v>239</v>
      </c>
      <c r="B240" s="67">
        <v>43040.347604166665</v>
      </c>
      <c r="C240" t="s">
        <v>205</v>
      </c>
      <c r="D240" s="58" t="s">
        <v>206</v>
      </c>
      <c r="E240" s="58" t="s">
        <v>182</v>
      </c>
    </row>
    <row r="241" spans="1:5" x14ac:dyDescent="0.25">
      <c r="A241">
        <v>240</v>
      </c>
      <c r="B241" s="67">
        <v>43040.347604166665</v>
      </c>
      <c r="C241" t="s">
        <v>205</v>
      </c>
      <c r="D241" s="58" t="s">
        <v>207</v>
      </c>
      <c r="E241" s="58" t="s">
        <v>182</v>
      </c>
    </row>
    <row r="242" spans="1:5" x14ac:dyDescent="0.25">
      <c r="A242">
        <v>241</v>
      </c>
      <c r="B242" s="67">
        <v>43040.347604166665</v>
      </c>
      <c r="C242" t="s">
        <v>205</v>
      </c>
      <c r="D242" s="58" t="s">
        <v>208</v>
      </c>
      <c r="E242" s="58" t="s">
        <v>182</v>
      </c>
    </row>
    <row r="243" spans="1:5" x14ac:dyDescent="0.25">
      <c r="A243">
        <v>242</v>
      </c>
      <c r="B243" s="67">
        <v>43040.347615740742</v>
      </c>
      <c r="C243" t="s">
        <v>205</v>
      </c>
      <c r="D243" s="58" t="s">
        <v>209</v>
      </c>
      <c r="E243" s="58" t="s">
        <v>182</v>
      </c>
    </row>
    <row r="244" spans="1:5" x14ac:dyDescent="0.25">
      <c r="A244">
        <v>243</v>
      </c>
      <c r="B244" s="67">
        <v>43040.347615740742</v>
      </c>
      <c r="C244" t="s">
        <v>205</v>
      </c>
      <c r="D244" s="58" t="s">
        <v>210</v>
      </c>
      <c r="E244" s="58" t="s">
        <v>182</v>
      </c>
    </row>
    <row r="245" spans="1:5" x14ac:dyDescent="0.25">
      <c r="A245">
        <v>244</v>
      </c>
      <c r="B245" s="67">
        <v>43040.347615740742</v>
      </c>
      <c r="C245" t="s">
        <v>205</v>
      </c>
      <c r="D245" s="58" t="s">
        <v>211</v>
      </c>
      <c r="E245" s="58" t="s">
        <v>182</v>
      </c>
    </row>
    <row r="246" spans="1:5" x14ac:dyDescent="0.25">
      <c r="A246">
        <v>245</v>
      </c>
      <c r="B246" s="67">
        <v>43040.347615740742</v>
      </c>
      <c r="C246" t="s">
        <v>205</v>
      </c>
      <c r="D246" s="58" t="s">
        <v>212</v>
      </c>
      <c r="E246" s="58" t="s">
        <v>182</v>
      </c>
    </row>
    <row r="247" spans="1:5" x14ac:dyDescent="0.25">
      <c r="A247">
        <v>246</v>
      </c>
      <c r="B247" s="67">
        <v>43040.347615740742</v>
      </c>
      <c r="C247" t="s">
        <v>205</v>
      </c>
      <c r="D247" s="58" t="s">
        <v>206</v>
      </c>
      <c r="E247" s="58" t="s">
        <v>182</v>
      </c>
    </row>
    <row r="248" spans="1:5" x14ac:dyDescent="0.25">
      <c r="A248">
        <v>247</v>
      </c>
      <c r="B248" s="67">
        <v>43040.347615740742</v>
      </c>
      <c r="C248" t="s">
        <v>205</v>
      </c>
      <c r="D248" s="58" t="s">
        <v>207</v>
      </c>
      <c r="E248" s="58" t="s">
        <v>182</v>
      </c>
    </row>
    <row r="249" spans="1:5" x14ac:dyDescent="0.25">
      <c r="A249">
        <v>248</v>
      </c>
      <c r="B249" s="67">
        <v>43040.347615740742</v>
      </c>
      <c r="C249" t="s">
        <v>205</v>
      </c>
      <c r="D249" s="58" t="s">
        <v>208</v>
      </c>
      <c r="E249" s="58" t="s">
        <v>182</v>
      </c>
    </row>
    <row r="250" spans="1:5" x14ac:dyDescent="0.25">
      <c r="A250">
        <v>249</v>
      </c>
      <c r="B250" s="67">
        <v>43040.347615740742</v>
      </c>
      <c r="C250" t="s">
        <v>205</v>
      </c>
      <c r="D250" s="58" t="s">
        <v>209</v>
      </c>
      <c r="E250" s="58" t="s">
        <v>182</v>
      </c>
    </row>
    <row r="251" spans="1:5" x14ac:dyDescent="0.25">
      <c r="A251">
        <v>250</v>
      </c>
      <c r="B251" s="67">
        <v>43040.347615740742</v>
      </c>
      <c r="C251" t="s">
        <v>205</v>
      </c>
      <c r="D251" s="58" t="s">
        <v>210</v>
      </c>
      <c r="E251" s="58" t="s">
        <v>182</v>
      </c>
    </row>
    <row r="252" spans="1:5" x14ac:dyDescent="0.25">
      <c r="A252">
        <v>251</v>
      </c>
      <c r="B252" s="67">
        <v>43040.347615740742</v>
      </c>
      <c r="C252" t="s">
        <v>205</v>
      </c>
      <c r="D252" s="58" t="s">
        <v>211</v>
      </c>
      <c r="E252" s="58" t="s">
        <v>182</v>
      </c>
    </row>
    <row r="253" spans="1:5" x14ac:dyDescent="0.25">
      <c r="A253">
        <v>252</v>
      </c>
      <c r="B253" s="67">
        <v>43040.347615740742</v>
      </c>
      <c r="C253" t="s">
        <v>205</v>
      </c>
      <c r="D253" s="58" t="s">
        <v>212</v>
      </c>
      <c r="E253" s="58" t="s">
        <v>182</v>
      </c>
    </row>
    <row r="254" spans="1:5" x14ac:dyDescent="0.25">
      <c r="A254">
        <v>253</v>
      </c>
      <c r="B254" s="67">
        <v>43040.347615740742</v>
      </c>
      <c r="C254" t="s">
        <v>205</v>
      </c>
      <c r="D254" s="58" t="s">
        <v>206</v>
      </c>
      <c r="E254" s="58" t="s">
        <v>182</v>
      </c>
    </row>
    <row r="255" spans="1:5" x14ac:dyDescent="0.25">
      <c r="A255">
        <v>254</v>
      </c>
      <c r="B255" s="67">
        <v>43040.347615740742</v>
      </c>
      <c r="C255" t="s">
        <v>205</v>
      </c>
      <c r="D255" s="58" t="s">
        <v>207</v>
      </c>
      <c r="E255" s="58" t="s">
        <v>182</v>
      </c>
    </row>
    <row r="256" spans="1:5" x14ac:dyDescent="0.25">
      <c r="A256">
        <v>255</v>
      </c>
      <c r="B256" s="67">
        <v>43040.347615740742</v>
      </c>
      <c r="C256" t="s">
        <v>205</v>
      </c>
      <c r="D256" s="58" t="s">
        <v>208</v>
      </c>
      <c r="E256" s="58" t="s">
        <v>182</v>
      </c>
    </row>
    <row r="257" spans="1:5" x14ac:dyDescent="0.25">
      <c r="A257">
        <v>256</v>
      </c>
      <c r="B257" s="67">
        <v>43040.347615740742</v>
      </c>
      <c r="C257" t="s">
        <v>205</v>
      </c>
      <c r="D257" s="58" t="s">
        <v>209</v>
      </c>
      <c r="E257" s="58" t="s">
        <v>182</v>
      </c>
    </row>
    <row r="258" spans="1:5" x14ac:dyDescent="0.25">
      <c r="A258">
        <v>257</v>
      </c>
      <c r="B258" s="67">
        <v>43040.347615740742</v>
      </c>
      <c r="C258" t="s">
        <v>205</v>
      </c>
      <c r="D258" s="58" t="s">
        <v>210</v>
      </c>
      <c r="E258" s="58" t="s">
        <v>182</v>
      </c>
    </row>
    <row r="259" spans="1:5" x14ac:dyDescent="0.25">
      <c r="A259">
        <v>258</v>
      </c>
      <c r="B259" s="67">
        <v>43040.347615740742</v>
      </c>
      <c r="C259" t="s">
        <v>205</v>
      </c>
      <c r="D259" s="58" t="s">
        <v>211</v>
      </c>
      <c r="E259" s="58" t="s">
        <v>182</v>
      </c>
    </row>
    <row r="260" spans="1:5" x14ac:dyDescent="0.25">
      <c r="A260">
        <v>259</v>
      </c>
      <c r="B260" s="67">
        <v>43040.347615740742</v>
      </c>
      <c r="C260" t="s">
        <v>205</v>
      </c>
      <c r="D260" s="58" t="s">
        <v>212</v>
      </c>
      <c r="E260" s="58" t="s">
        <v>182</v>
      </c>
    </row>
    <row r="261" spans="1:5" x14ac:dyDescent="0.25">
      <c r="A261">
        <v>260</v>
      </c>
      <c r="B261" s="67">
        <v>43040.347615740742</v>
      </c>
      <c r="C261" t="s">
        <v>205</v>
      </c>
      <c r="D261" s="58" t="s">
        <v>206</v>
      </c>
      <c r="E261" s="58" t="s">
        <v>182</v>
      </c>
    </row>
    <row r="262" spans="1:5" x14ac:dyDescent="0.25">
      <c r="A262">
        <v>261</v>
      </c>
      <c r="B262" s="67">
        <v>43040.347615740742</v>
      </c>
      <c r="C262" t="s">
        <v>205</v>
      </c>
      <c r="D262" s="58" t="s">
        <v>207</v>
      </c>
      <c r="E262" s="58" t="s">
        <v>182</v>
      </c>
    </row>
    <row r="263" spans="1:5" x14ac:dyDescent="0.25">
      <c r="A263">
        <v>262</v>
      </c>
      <c r="B263" s="67">
        <v>43040.347615740742</v>
      </c>
      <c r="C263" t="s">
        <v>205</v>
      </c>
      <c r="D263" s="58" t="s">
        <v>208</v>
      </c>
      <c r="E263" s="58" t="s">
        <v>182</v>
      </c>
    </row>
    <row r="264" spans="1:5" x14ac:dyDescent="0.25">
      <c r="A264">
        <v>263</v>
      </c>
      <c r="B264" s="67">
        <v>43040.347615740742</v>
      </c>
      <c r="C264" t="s">
        <v>205</v>
      </c>
      <c r="D264" s="58" t="s">
        <v>209</v>
      </c>
      <c r="E264" s="58" t="s">
        <v>182</v>
      </c>
    </row>
    <row r="265" spans="1:5" x14ac:dyDescent="0.25">
      <c r="A265">
        <v>264</v>
      </c>
      <c r="B265" s="67">
        <v>43040.347627314812</v>
      </c>
      <c r="C265" t="s">
        <v>205</v>
      </c>
      <c r="D265" s="58" t="s">
        <v>210</v>
      </c>
      <c r="E265" s="58" t="s">
        <v>182</v>
      </c>
    </row>
    <row r="266" spans="1:5" x14ac:dyDescent="0.25">
      <c r="A266">
        <v>265</v>
      </c>
      <c r="B266" s="67">
        <v>43040.347627314812</v>
      </c>
      <c r="C266" t="s">
        <v>205</v>
      </c>
      <c r="D266" s="58" t="s">
        <v>211</v>
      </c>
      <c r="E266" s="58" t="s">
        <v>182</v>
      </c>
    </row>
    <row r="267" spans="1:5" x14ac:dyDescent="0.25">
      <c r="A267">
        <v>266</v>
      </c>
      <c r="B267" s="67">
        <v>43040.347627314812</v>
      </c>
      <c r="C267" t="s">
        <v>205</v>
      </c>
      <c r="D267" s="58" t="s">
        <v>212</v>
      </c>
      <c r="E267" s="58" t="s">
        <v>182</v>
      </c>
    </row>
    <row r="268" spans="1:5" x14ac:dyDescent="0.25">
      <c r="A268">
        <v>267</v>
      </c>
      <c r="B268" s="67">
        <v>43040.347627314812</v>
      </c>
      <c r="C268" t="s">
        <v>205</v>
      </c>
      <c r="D268" s="58" t="s">
        <v>206</v>
      </c>
      <c r="E268" s="58" t="s">
        <v>182</v>
      </c>
    </row>
    <row r="269" spans="1:5" x14ac:dyDescent="0.25">
      <c r="A269">
        <v>268</v>
      </c>
      <c r="B269" s="67">
        <v>43040.347627314812</v>
      </c>
      <c r="C269" t="s">
        <v>205</v>
      </c>
      <c r="D269" s="58" t="s">
        <v>207</v>
      </c>
      <c r="E269" s="58" t="s">
        <v>182</v>
      </c>
    </row>
    <row r="270" spans="1:5" x14ac:dyDescent="0.25">
      <c r="A270">
        <v>269</v>
      </c>
      <c r="B270" s="67">
        <v>43040.347627314812</v>
      </c>
      <c r="C270" t="s">
        <v>205</v>
      </c>
      <c r="D270" s="58" t="s">
        <v>208</v>
      </c>
      <c r="E270" s="58" t="s">
        <v>182</v>
      </c>
    </row>
    <row r="271" spans="1:5" x14ac:dyDescent="0.25">
      <c r="A271">
        <v>270</v>
      </c>
      <c r="B271" s="67">
        <v>43040.347627314812</v>
      </c>
      <c r="C271" t="s">
        <v>205</v>
      </c>
      <c r="D271" s="58" t="s">
        <v>209</v>
      </c>
      <c r="E271" s="58" t="s">
        <v>182</v>
      </c>
    </row>
    <row r="272" spans="1:5" x14ac:dyDescent="0.25">
      <c r="A272">
        <v>271</v>
      </c>
      <c r="B272" s="67">
        <v>43040.347627314812</v>
      </c>
      <c r="C272" t="s">
        <v>205</v>
      </c>
      <c r="D272" s="58" t="s">
        <v>210</v>
      </c>
      <c r="E272" s="58" t="s">
        <v>182</v>
      </c>
    </row>
    <row r="273" spans="1:5" x14ac:dyDescent="0.25">
      <c r="A273">
        <v>272</v>
      </c>
      <c r="B273" s="67">
        <v>43040.347627314812</v>
      </c>
      <c r="C273" t="s">
        <v>205</v>
      </c>
      <c r="D273" s="58" t="s">
        <v>211</v>
      </c>
      <c r="E273" s="58" t="s">
        <v>182</v>
      </c>
    </row>
    <row r="274" spans="1:5" x14ac:dyDescent="0.25">
      <c r="A274">
        <v>273</v>
      </c>
      <c r="B274" s="67">
        <v>43040.347627314812</v>
      </c>
      <c r="C274" t="s">
        <v>205</v>
      </c>
      <c r="D274" s="58" t="s">
        <v>212</v>
      </c>
      <c r="E274" s="58" t="s">
        <v>182</v>
      </c>
    </row>
    <row r="275" spans="1:5" x14ac:dyDescent="0.25">
      <c r="A275">
        <v>274</v>
      </c>
      <c r="B275" s="67">
        <v>43040.347627314812</v>
      </c>
      <c r="C275" t="s">
        <v>205</v>
      </c>
      <c r="D275" s="58" t="s">
        <v>206</v>
      </c>
      <c r="E275" s="58" t="s">
        <v>182</v>
      </c>
    </row>
    <row r="276" spans="1:5" x14ac:dyDescent="0.25">
      <c r="A276">
        <v>275</v>
      </c>
      <c r="B276" s="67">
        <v>43040.347627314812</v>
      </c>
      <c r="C276" t="s">
        <v>205</v>
      </c>
      <c r="D276" s="58" t="s">
        <v>207</v>
      </c>
      <c r="E276" s="58" t="s">
        <v>182</v>
      </c>
    </row>
    <row r="277" spans="1:5" x14ac:dyDescent="0.25">
      <c r="A277">
        <v>276</v>
      </c>
      <c r="B277" s="67">
        <v>43040.347627314812</v>
      </c>
      <c r="C277" t="s">
        <v>205</v>
      </c>
      <c r="D277" s="58" t="s">
        <v>208</v>
      </c>
      <c r="E277" s="58" t="s">
        <v>182</v>
      </c>
    </row>
    <row r="278" spans="1:5" x14ac:dyDescent="0.25">
      <c r="A278">
        <v>277</v>
      </c>
      <c r="B278" s="67">
        <v>43040.347627314812</v>
      </c>
      <c r="C278" t="s">
        <v>205</v>
      </c>
      <c r="D278" s="58" t="s">
        <v>209</v>
      </c>
      <c r="E278" s="58" t="s">
        <v>182</v>
      </c>
    </row>
    <row r="279" spans="1:5" x14ac:dyDescent="0.25">
      <c r="A279">
        <v>278</v>
      </c>
      <c r="B279" s="67">
        <v>43040.347627314812</v>
      </c>
      <c r="C279" t="s">
        <v>205</v>
      </c>
      <c r="D279" s="58" t="s">
        <v>210</v>
      </c>
      <c r="E279" s="58" t="s">
        <v>182</v>
      </c>
    </row>
    <row r="280" spans="1:5" x14ac:dyDescent="0.25">
      <c r="A280">
        <v>279</v>
      </c>
      <c r="B280" s="67">
        <v>43040.347627314812</v>
      </c>
      <c r="C280" t="s">
        <v>205</v>
      </c>
      <c r="D280" s="58" t="s">
        <v>211</v>
      </c>
      <c r="E280" s="58" t="s">
        <v>182</v>
      </c>
    </row>
    <row r="281" spans="1:5" x14ac:dyDescent="0.25">
      <c r="A281">
        <v>280</v>
      </c>
      <c r="B281" s="67">
        <v>43040.347627314812</v>
      </c>
      <c r="C281" t="s">
        <v>205</v>
      </c>
      <c r="D281" s="58" t="s">
        <v>212</v>
      </c>
      <c r="E281" s="58" t="s">
        <v>182</v>
      </c>
    </row>
    <row r="282" spans="1:5" x14ac:dyDescent="0.25">
      <c r="A282">
        <v>281</v>
      </c>
      <c r="B282" s="67">
        <v>43040.347627314812</v>
      </c>
      <c r="C282" t="s">
        <v>192</v>
      </c>
      <c r="D282" s="58" t="s">
        <v>202</v>
      </c>
    </row>
    <row r="283" spans="1:5" x14ac:dyDescent="0.25">
      <c r="A283">
        <v>282</v>
      </c>
      <c r="B283" s="67">
        <v>43040.347627314812</v>
      </c>
      <c r="C283" t="s">
        <v>192</v>
      </c>
      <c r="D283" s="58" t="s">
        <v>182</v>
      </c>
      <c r="E283" s="58" t="s">
        <v>195</v>
      </c>
    </row>
    <row r="284" spans="1:5" x14ac:dyDescent="0.25">
      <c r="A284">
        <v>283</v>
      </c>
      <c r="B284" s="67">
        <v>43040.347627314812</v>
      </c>
      <c r="C284" t="s">
        <v>190</v>
      </c>
      <c r="D284" s="58" t="s">
        <v>182</v>
      </c>
      <c r="E284" s="58" t="s">
        <v>195</v>
      </c>
    </row>
    <row r="285" spans="1:5" x14ac:dyDescent="0.25">
      <c r="A285">
        <v>284</v>
      </c>
      <c r="B285" s="67">
        <v>43040.34915509259</v>
      </c>
      <c r="C285" t="s">
        <v>193</v>
      </c>
      <c r="D285" s="58" t="s">
        <v>182</v>
      </c>
      <c r="E285" s="58" t="s">
        <v>191</v>
      </c>
    </row>
    <row r="286" spans="1:5" x14ac:dyDescent="0.25">
      <c r="A286">
        <v>285</v>
      </c>
      <c r="B286" s="67">
        <v>43040.34915509259</v>
      </c>
      <c r="C286" t="s">
        <v>194</v>
      </c>
      <c r="D286" s="58" t="s">
        <v>182</v>
      </c>
      <c r="E286" s="58" t="s">
        <v>191</v>
      </c>
    </row>
    <row r="287" spans="1:5" x14ac:dyDescent="0.25">
      <c r="A287">
        <v>286</v>
      </c>
      <c r="B287" s="67">
        <v>43040.355185185188</v>
      </c>
      <c r="C287" t="s">
        <v>193</v>
      </c>
      <c r="D287" s="58" t="s">
        <v>182</v>
      </c>
      <c r="E287" s="58" t="s">
        <v>191</v>
      </c>
    </row>
    <row r="288" spans="1:5" x14ac:dyDescent="0.25">
      <c r="A288">
        <v>287</v>
      </c>
      <c r="B288" s="67">
        <v>43040.355185185188</v>
      </c>
      <c r="C288" t="s">
        <v>194</v>
      </c>
      <c r="D288" s="58" t="s">
        <v>182</v>
      </c>
      <c r="E288" s="58" t="s">
        <v>191</v>
      </c>
    </row>
    <row r="289" spans="1:5" x14ac:dyDescent="0.25">
      <c r="A289">
        <v>288</v>
      </c>
      <c r="B289" s="67">
        <v>43040.355231481481</v>
      </c>
      <c r="C289" t="s">
        <v>193</v>
      </c>
      <c r="D289" s="58" t="s">
        <v>182</v>
      </c>
      <c r="E289" s="58" t="s">
        <v>191</v>
      </c>
    </row>
    <row r="290" spans="1:5" x14ac:dyDescent="0.25">
      <c r="A290">
        <v>289</v>
      </c>
      <c r="B290" s="67">
        <v>43040.355231481481</v>
      </c>
      <c r="C290" t="s">
        <v>194</v>
      </c>
      <c r="D290" s="58" t="s">
        <v>182</v>
      </c>
      <c r="E290" s="58" t="s">
        <v>191</v>
      </c>
    </row>
    <row r="291" spans="1:5" x14ac:dyDescent="0.25">
      <c r="A291">
        <v>290</v>
      </c>
      <c r="B291" s="67">
        <v>43040.355578703704</v>
      </c>
      <c r="C291" t="s">
        <v>196</v>
      </c>
      <c r="D291" s="58" t="s">
        <v>182</v>
      </c>
      <c r="E291" s="58" t="s">
        <v>191</v>
      </c>
    </row>
    <row r="292" spans="1:5" x14ac:dyDescent="0.25">
      <c r="A292">
        <v>291</v>
      </c>
      <c r="B292" s="67">
        <v>43040.355578703704</v>
      </c>
      <c r="C292" t="s">
        <v>197</v>
      </c>
      <c r="D292" s="58" t="s">
        <v>182</v>
      </c>
      <c r="E292" s="58" t="s">
        <v>195</v>
      </c>
    </row>
    <row r="293" spans="1:5" x14ac:dyDescent="0.25">
      <c r="A293">
        <v>292</v>
      </c>
      <c r="B293" s="67">
        <v>43040.355613425927</v>
      </c>
      <c r="C293" t="s">
        <v>193</v>
      </c>
      <c r="D293" s="58" t="s">
        <v>182</v>
      </c>
      <c r="E293" s="58" t="s">
        <v>191</v>
      </c>
    </row>
    <row r="294" spans="1:5" x14ac:dyDescent="0.25">
      <c r="A294">
        <v>293</v>
      </c>
      <c r="B294" s="67">
        <v>43040.355613425927</v>
      </c>
      <c r="C294" t="s">
        <v>194</v>
      </c>
      <c r="D294" s="58" t="s">
        <v>182</v>
      </c>
      <c r="E294" s="58" t="s">
        <v>191</v>
      </c>
    </row>
    <row r="295" spans="1:5" x14ac:dyDescent="0.25">
      <c r="A295">
        <v>294</v>
      </c>
      <c r="B295" s="67">
        <v>43040.843935185185</v>
      </c>
      <c r="C295" t="s">
        <v>198</v>
      </c>
      <c r="D295" s="58" t="s">
        <v>182</v>
      </c>
      <c r="E295" s="58" t="s">
        <v>191</v>
      </c>
    </row>
    <row r="296" spans="1:5" x14ac:dyDescent="0.25">
      <c r="A296">
        <v>295</v>
      </c>
      <c r="B296" s="67">
        <v>43040.843935185185</v>
      </c>
      <c r="C296" t="s">
        <v>192</v>
      </c>
      <c r="D296" s="58" t="s">
        <v>182</v>
      </c>
      <c r="E296" s="58" t="s">
        <v>191</v>
      </c>
    </row>
    <row r="297" spans="1:5" x14ac:dyDescent="0.25">
      <c r="A297">
        <v>296</v>
      </c>
      <c r="B297" s="67">
        <v>43040.843935185185</v>
      </c>
      <c r="C297" t="s">
        <v>184</v>
      </c>
      <c r="D297" s="58" t="s">
        <v>182</v>
      </c>
      <c r="E297" s="58" t="s">
        <v>201</v>
      </c>
    </row>
    <row r="298" spans="1:5" x14ac:dyDescent="0.25">
      <c r="A298">
        <v>297</v>
      </c>
      <c r="B298" s="67">
        <v>43040.843935185185</v>
      </c>
      <c r="C298" t="s">
        <v>192</v>
      </c>
      <c r="D298" s="58" t="s">
        <v>203</v>
      </c>
    </row>
    <row r="299" spans="1:5" x14ac:dyDescent="0.25">
      <c r="A299">
        <v>298</v>
      </c>
      <c r="B299" s="67">
        <v>43040.843935185185</v>
      </c>
      <c r="C299" t="s">
        <v>192</v>
      </c>
      <c r="D299" s="58" t="s">
        <v>182</v>
      </c>
      <c r="E299" s="58" t="s">
        <v>195</v>
      </c>
    </row>
    <row r="300" spans="1:5" x14ac:dyDescent="0.25">
      <c r="A300">
        <v>299</v>
      </c>
      <c r="B300" s="67">
        <v>43040.843935185185</v>
      </c>
      <c r="C300" t="s">
        <v>190</v>
      </c>
      <c r="D300" s="58" t="s">
        <v>182</v>
      </c>
      <c r="E300" s="58" t="s">
        <v>195</v>
      </c>
    </row>
    <row r="301" spans="1:5" x14ac:dyDescent="0.25">
      <c r="A301">
        <v>300</v>
      </c>
      <c r="B301" s="67">
        <v>43040.845636574071</v>
      </c>
      <c r="C301" t="s">
        <v>181</v>
      </c>
      <c r="D301" s="58" t="s">
        <v>182</v>
      </c>
      <c r="E301" s="58" t="s">
        <v>213</v>
      </c>
    </row>
    <row r="302" spans="1:5" x14ac:dyDescent="0.25">
      <c r="A302">
        <v>301</v>
      </c>
      <c r="B302" s="67">
        <v>43040.846226851849</v>
      </c>
      <c r="C302" t="s">
        <v>193</v>
      </c>
      <c r="D302" s="58" t="s">
        <v>182</v>
      </c>
      <c r="E302" s="58" t="s">
        <v>191</v>
      </c>
    </row>
    <row r="303" spans="1:5" x14ac:dyDescent="0.25">
      <c r="A303">
        <v>302</v>
      </c>
      <c r="B303" s="67">
        <v>43040.846226851849</v>
      </c>
      <c r="C303" t="s">
        <v>194</v>
      </c>
      <c r="D303" s="58" t="s">
        <v>182</v>
      </c>
      <c r="E303" s="58" t="s">
        <v>191</v>
      </c>
    </row>
    <row r="304" spans="1:5" x14ac:dyDescent="0.25">
      <c r="A304">
        <v>303</v>
      </c>
      <c r="B304" s="67">
        <v>43040.846608796295</v>
      </c>
      <c r="C304" t="s">
        <v>198</v>
      </c>
      <c r="D304" s="58" t="s">
        <v>182</v>
      </c>
      <c r="E304" s="58" t="s">
        <v>191</v>
      </c>
    </row>
    <row r="305" spans="1:5" x14ac:dyDescent="0.25">
      <c r="A305">
        <v>304</v>
      </c>
      <c r="B305" s="67">
        <v>43040.846608796295</v>
      </c>
      <c r="C305" t="s">
        <v>192</v>
      </c>
      <c r="D305" s="58" t="s">
        <v>182</v>
      </c>
      <c r="E305" s="58" t="s">
        <v>191</v>
      </c>
    </row>
    <row r="306" spans="1:5" x14ac:dyDescent="0.25">
      <c r="A306">
        <v>305</v>
      </c>
      <c r="B306" s="67">
        <v>43040.846608796295</v>
      </c>
      <c r="C306" t="s">
        <v>184</v>
      </c>
      <c r="D306" s="58" t="s">
        <v>182</v>
      </c>
      <c r="E306" s="58" t="s">
        <v>201</v>
      </c>
    </row>
    <row r="307" spans="1:5" x14ac:dyDescent="0.25">
      <c r="A307">
        <v>306</v>
      </c>
      <c r="B307" s="67">
        <v>43040.846608796295</v>
      </c>
      <c r="C307" t="s">
        <v>192</v>
      </c>
      <c r="D307" s="58" t="s">
        <v>203</v>
      </c>
    </row>
    <row r="308" spans="1:5" x14ac:dyDescent="0.25">
      <c r="A308">
        <v>307</v>
      </c>
      <c r="B308" s="67">
        <v>43040.846608796295</v>
      </c>
      <c r="C308" t="s">
        <v>192</v>
      </c>
      <c r="D308" s="58" t="s">
        <v>182</v>
      </c>
      <c r="E308" s="58" t="s">
        <v>195</v>
      </c>
    </row>
    <row r="309" spans="1:5" x14ac:dyDescent="0.25">
      <c r="A309">
        <v>308</v>
      </c>
      <c r="B309" s="67">
        <v>43040.846608796295</v>
      </c>
      <c r="C309" t="s">
        <v>190</v>
      </c>
      <c r="D309" s="58" t="s">
        <v>182</v>
      </c>
      <c r="E309" s="58" t="s">
        <v>195</v>
      </c>
    </row>
    <row r="310" spans="1:5" x14ac:dyDescent="0.25">
      <c r="A310">
        <v>309</v>
      </c>
      <c r="B310" s="67">
        <v>43040.847314814811</v>
      </c>
      <c r="C310" t="s">
        <v>193</v>
      </c>
      <c r="D310" s="58" t="s">
        <v>182</v>
      </c>
      <c r="E310" s="58" t="s">
        <v>191</v>
      </c>
    </row>
    <row r="311" spans="1:5" x14ac:dyDescent="0.25">
      <c r="A311">
        <v>310</v>
      </c>
      <c r="B311" s="67">
        <v>43040.847314814811</v>
      </c>
      <c r="C311" t="s">
        <v>194</v>
      </c>
      <c r="D311" s="58" t="s">
        <v>182</v>
      </c>
      <c r="E311" s="58" t="s">
        <v>191</v>
      </c>
    </row>
    <row r="312" spans="1:5" x14ac:dyDescent="0.25">
      <c r="A312">
        <v>311</v>
      </c>
      <c r="B312" s="67">
        <v>43040.848495370374</v>
      </c>
      <c r="C312" t="s">
        <v>198</v>
      </c>
      <c r="D312" s="58" t="s">
        <v>182</v>
      </c>
      <c r="E312" s="58" t="s">
        <v>191</v>
      </c>
    </row>
    <row r="313" spans="1:5" x14ac:dyDescent="0.25">
      <c r="A313">
        <v>312</v>
      </c>
      <c r="B313" s="67">
        <v>43040.848506944443</v>
      </c>
      <c r="C313" t="s">
        <v>192</v>
      </c>
      <c r="D313" s="58" t="s">
        <v>182</v>
      </c>
      <c r="E313" s="58" t="s">
        <v>191</v>
      </c>
    </row>
    <row r="314" spans="1:5" x14ac:dyDescent="0.25">
      <c r="A314">
        <v>313</v>
      </c>
      <c r="B314" s="67">
        <v>43040.848506944443</v>
      </c>
      <c r="C314" t="s">
        <v>184</v>
      </c>
      <c r="D314" s="58" t="s">
        <v>182</v>
      </c>
      <c r="E314" s="58" t="s">
        <v>201</v>
      </c>
    </row>
    <row r="315" spans="1:5" x14ac:dyDescent="0.25">
      <c r="A315">
        <v>314</v>
      </c>
      <c r="B315" s="67">
        <v>43040.848506944443</v>
      </c>
      <c r="C315" t="s">
        <v>192</v>
      </c>
      <c r="D315" s="58" t="s">
        <v>203</v>
      </c>
    </row>
    <row r="316" spans="1:5" x14ac:dyDescent="0.25">
      <c r="A316">
        <v>315</v>
      </c>
      <c r="B316" s="67">
        <v>43040.848506944443</v>
      </c>
      <c r="C316" t="s">
        <v>192</v>
      </c>
      <c r="D316" s="58" t="s">
        <v>182</v>
      </c>
      <c r="E316" s="58" t="s">
        <v>195</v>
      </c>
    </row>
    <row r="317" spans="1:5" x14ac:dyDescent="0.25">
      <c r="A317">
        <v>316</v>
      </c>
      <c r="B317" s="67">
        <v>43040.848506944443</v>
      </c>
      <c r="C317" t="s">
        <v>190</v>
      </c>
      <c r="D317" s="58" t="s">
        <v>182</v>
      </c>
      <c r="E317" s="58" t="s">
        <v>195</v>
      </c>
    </row>
    <row r="318" spans="1:5" x14ac:dyDescent="0.25">
      <c r="A318">
        <v>317</v>
      </c>
      <c r="B318" s="67">
        <v>43040.848599537036</v>
      </c>
      <c r="C318" t="s">
        <v>196</v>
      </c>
      <c r="D318" s="58" t="s">
        <v>182</v>
      </c>
      <c r="E318" s="58" t="s">
        <v>191</v>
      </c>
    </row>
    <row r="319" spans="1:5" x14ac:dyDescent="0.25">
      <c r="A319">
        <v>318</v>
      </c>
      <c r="B319" s="67">
        <v>43040.848599537036</v>
      </c>
      <c r="C319" t="s">
        <v>197</v>
      </c>
      <c r="D319" s="58" t="s">
        <v>182</v>
      </c>
      <c r="E319" s="58" t="s">
        <v>195</v>
      </c>
    </row>
    <row r="320" spans="1:5" x14ac:dyDescent="0.25">
      <c r="A320" s="46">
        <v>319</v>
      </c>
      <c r="B320" s="75">
        <v>43040.848657407405</v>
      </c>
      <c r="C320" s="46" t="s">
        <v>193</v>
      </c>
      <c r="D320" s="76" t="s">
        <v>182</v>
      </c>
      <c r="E320" s="76" t="s">
        <v>191</v>
      </c>
    </row>
    <row r="321" spans="1:5" x14ac:dyDescent="0.25">
      <c r="A321" s="46">
        <v>320</v>
      </c>
      <c r="B321" s="75">
        <v>43040.848657407405</v>
      </c>
      <c r="C321" s="46" t="s">
        <v>194</v>
      </c>
      <c r="D321" s="76" t="s">
        <v>182</v>
      </c>
      <c r="E321" s="76" t="s">
        <v>191</v>
      </c>
    </row>
    <row r="322" spans="1:5" x14ac:dyDescent="0.25">
      <c r="A322">
        <v>321</v>
      </c>
      <c r="B322" s="67">
        <v>43040.849027777775</v>
      </c>
      <c r="C322" t="s">
        <v>198</v>
      </c>
      <c r="D322" s="58" t="s">
        <v>182</v>
      </c>
      <c r="E322" s="58" t="s">
        <v>191</v>
      </c>
    </row>
    <row r="323" spans="1:5" x14ac:dyDescent="0.25">
      <c r="A323">
        <v>322</v>
      </c>
      <c r="B323" s="67">
        <v>43040.849027777775</v>
      </c>
      <c r="C323" t="s">
        <v>192</v>
      </c>
      <c r="D323" s="58" t="s">
        <v>182</v>
      </c>
      <c r="E323" s="58" t="s">
        <v>191</v>
      </c>
    </row>
    <row r="324" spans="1:5" x14ac:dyDescent="0.25">
      <c r="A324">
        <v>323</v>
      </c>
      <c r="B324" s="67">
        <v>43040.849027777775</v>
      </c>
      <c r="C324" t="s">
        <v>184</v>
      </c>
      <c r="D324" s="58" t="s">
        <v>182</v>
      </c>
      <c r="E324" s="58" t="s">
        <v>201</v>
      </c>
    </row>
    <row r="325" spans="1:5" x14ac:dyDescent="0.25">
      <c r="A325">
        <v>324</v>
      </c>
      <c r="B325" s="67">
        <v>43040.849027777775</v>
      </c>
      <c r="C325" t="s">
        <v>192</v>
      </c>
      <c r="D325" s="58" t="s">
        <v>203</v>
      </c>
    </row>
    <row r="326" spans="1:5" x14ac:dyDescent="0.25">
      <c r="A326">
        <v>325</v>
      </c>
      <c r="B326" s="67">
        <v>43040.849027777775</v>
      </c>
      <c r="C326" t="s">
        <v>192</v>
      </c>
      <c r="D326" s="58" t="s">
        <v>182</v>
      </c>
      <c r="E326" s="58" t="s">
        <v>195</v>
      </c>
    </row>
    <row r="327" spans="1:5" x14ac:dyDescent="0.25">
      <c r="A327">
        <v>326</v>
      </c>
      <c r="B327" s="67">
        <v>43040.849027777775</v>
      </c>
      <c r="C327" t="s">
        <v>190</v>
      </c>
      <c r="D327" s="58" t="s">
        <v>182</v>
      </c>
      <c r="E327" s="58" t="s">
        <v>195</v>
      </c>
    </row>
    <row r="328" spans="1:5" x14ac:dyDescent="0.25">
      <c r="A328">
        <v>327</v>
      </c>
      <c r="B328" s="67">
        <v>43040.851469907408</v>
      </c>
      <c r="C328" t="s">
        <v>193</v>
      </c>
      <c r="D328" s="58" t="s">
        <v>182</v>
      </c>
      <c r="E328" s="58" t="s">
        <v>191</v>
      </c>
    </row>
    <row r="329" spans="1:5" x14ac:dyDescent="0.25">
      <c r="A329">
        <v>328</v>
      </c>
      <c r="B329" s="67">
        <v>43040.851493055554</v>
      </c>
      <c r="C329" t="s">
        <v>194</v>
      </c>
      <c r="D329" s="58" t="s">
        <v>182</v>
      </c>
      <c r="E329" s="58" t="s">
        <v>191</v>
      </c>
    </row>
    <row r="331" spans="1:5" x14ac:dyDescent="0.25">
      <c r="C331" t="s">
        <v>214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2017-01-11T20:28:26Z</dcterms:modified>
</cp:coreProperties>
</file>