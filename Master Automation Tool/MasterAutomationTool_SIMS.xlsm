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activeTab="3"/>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c r="J20" i="21"/>
  <c r="J19" i="21"/>
  <c r="B45" i="21" s="1"/>
  <c r="J17" i="21"/>
  <c r="J16" i="21"/>
  <c r="J15" i="21"/>
  <c r="L18" i="21" s="1"/>
  <c r="J18" i="21" s="1"/>
  <c r="C18" i="21" l="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<sst xmlns="http://schemas.openxmlformats.org/spreadsheetml/2006/main" count="312" uniqueCount="190">
  <si>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</si>
  <si>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</si>
  <si>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</si>
  <si>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</si>
  <si>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</si>
  <si>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</si>
  <si>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</si>
  <si>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</si>
  <si>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</si>
  <si>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</si>
  <si>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</si>
  <si>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</si>
  <si>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</si>
  <si>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</si>
  <si>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</si>
  <si>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</si>
  <si>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</si>
  <si>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</si>
  <si>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</si>
  <si>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</si>
  <si>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</si>
  <si>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</si>
  <si>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</si>
  <si>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</si>
  <si>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</si>
  <si>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</si>
  <si>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</si>
  <si>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</si>
  <si>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</si>
  <si>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</si>
  <si>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</si>
  <si>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</si>
  <si>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</si>
  <si>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</si>
  <si>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</si>
  <si>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</si>
  <si>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</si>
  <si>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</si>
  <si>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</si>
  <si>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</si>
  <si>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</si>
  <si>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</si>
  <si>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</si>
  <si>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</si>
  <si>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</si>
  <si>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</si>
  <si>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</si>
  <si>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</si>
  <si>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</si>
  <si>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</si>
  <si>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</si>
  <si>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</si>
  <si>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</si>
  <si>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</si>
  <si>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</si>
  <si>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</si>
  <si>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</si>
  <si>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</si>
  <si>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</si>
  <si>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</si>
  <si>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</si>
  <si>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</si>
  <si>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</si>
  <si>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</si>
  <si>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</si>
  <si>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</si>
  <si>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</si>
  <si>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</si>
  <si>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</si>
  <si>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</si>
  <si>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</si>
  <si>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</si>
  <si>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</si>
  <si>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</si>
  <si>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</si>
  <si>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</si>
  <si>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</si>
  <si>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</si>
  <si>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</si>
  <si>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</si>
  <si>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</si>
  <si>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</si>
  <si>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</si>
  <si>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</si>
  <si>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</si>
  <si>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</si>
  <si>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</si>
  <si>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</si>
  <si>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</si>
  <si>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</si>
  <si>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</si>
  <si>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</si>
  <si>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</si>
  <si>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</si>
  <si>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</si>
  <si>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</si>
  <si>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</si>
  <si>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</si>
  <si>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</si>
  <si>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</si>
  <si>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</si>
  <si>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</si>
  <si>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</si>
  <si>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</si>
  <si>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</si>
  <si>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</si>
  <si>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</si>
  <si>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</si>
  <si>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</si>
  <si>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</si>
  <si>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</si>
  <si>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</si>
  <si>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</si>
  <si>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</si>
  <si>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</si>
  <si>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</si>
  <si>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</si>
  <si>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</si>
  <si>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</si>
  <si>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</si>
  <si>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</si>
  <si>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</si>
  <si>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</si>
  <si>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</si>
  <si>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</si>
  <si>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</si>
  <si>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</si>
  <si>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</si>
  <si>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</si>
  <si>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</si>
  <si>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</si>
  <si>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</si>
  <si>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</si>
  <si>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</si>
  <si>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</si>
  <si>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</si>
  <si>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</si>
  <si>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</si>
  <si>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</si>
  <si>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</si>
  <si>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</si>
  <si>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</si>
  <si>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</si>
  <si>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</si>
  <si>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</si>
  <si>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</si>
  <si>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</si>
  <si>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</si>
  <si>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</si>
  <si>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</si>
  <si>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</si>
  <si>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</si>
  <si>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</si>
  <si>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</si>
  <si>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</si>
  <si>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</si>
  <si>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</si>
  <si>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</si>
  <si>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</si>
  <si>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</si>
  <si>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</si>
  <si>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</si>
  <si>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</si>
  <si>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</si>
  <si>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</si>
  <si>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</si>
  <si>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</si>
  <si>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</si>
  <si>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</si>
  <si>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</si>
  <si>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</si>
  <si>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</si>
  <si>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</si>
  <si>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</si>
  <si>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</si>
  <si>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</si>
  <si>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</si>
  <si>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</si>
  <si>
    <t>Actual Outcome</t>
  </si>
  <si>
    <t>Test: System Log Test</t>
  </si>
  <si>
    <t>---</t>
  </si>
  <si>
    <t>ExportModules</t>
  </si>
  <si>
    <t>-</t>
  </si>
  <si>
    <t>12 files exported to C:\_Dropbox\Dropbox\Git\SIMS Automation Project\SIMS-Automation-Project\Master Automation Tool\_src .</t>
  </si>
  <si>
    <t>CheckWhetherToImportSRCModules</t>
  </si>
  <si>
    <t>False, no import made.</t>
  </si>
  <si>
    <t>IMPORT: Code modules updated.</t>
  </si>
  <si>
    <t>Import required</t>
  </si>
  <si>
    <t>True, importing</t>
  </si>
  <si>
    <t>True, import 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</si>
</sst>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hhmm"/>
  </numFmts>
  <fonts count="28"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3">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165" fontId="0" fillId="0" borderId="0" xfId="0" applyNumberFormat="1"/>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5" zoomScale="70" zoomScaleNormal="70" workbookViewId="0">
      <selection activeCell="K31" sqref="K31"/>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68" t="s">
        <v>40</v>
      </c>
      <c r="B14" s="68"/>
      <c r="E14" s="5"/>
      <c r="F14" s="5"/>
      <c r="G14" s="5"/>
      <c r="H14" s="5"/>
      <c r="I14" s="5"/>
      <c r="J14" s="15"/>
    </row>
    <row r="15" spans="1:15" x14ac:dyDescent="0.25">
      <c r="A15" s="47" t="s">
        <v>109</v>
      </c>
      <c r="B15" s="47" t="s">
        <v>111</v>
      </c>
      <c r="C15" s="47" t="s">
        <v>123</v>
      </c>
      <c r="E15" s="5"/>
      <c r="F15" s="5"/>
      <c r="G15" s="5"/>
      <c r="H15" s="5"/>
      <c r="I15" s="38" t="s">
        <v>74</v>
      </c>
      <c r="J15" s="16">
        <f ca="1">TODAY()</f>
        <v>42742</v>
      </c>
    </row>
    <row r="16" spans="1:15" ht="14.45" customHeight="1" x14ac:dyDescent="0.25">
      <c r="A16" s="6" t="s">
        <v>91</v>
      </c>
      <c r="B16" s="6" t="s">
        <v>91</v>
      </c>
      <c r="C16" s="6" t="s">
        <v>91</v>
      </c>
      <c r="I16" s="13" t="s">
        <v>117</v>
      </c>
      <c r="J16" s="16">
        <f ca="1">TODAY()-7</f>
        <v>42735</v>
      </c>
      <c r="O16" s="7"/>
    </row>
    <row r="17" spans="1:20" x14ac:dyDescent="0.25">
      <c r="A17" s="17" t="s">
        <v>95</v>
      </c>
      <c r="B17" s="17" t="s">
        <v>95</v>
      </c>
      <c r="C17" s="17" t="s">
        <v>95</v>
      </c>
      <c r="I17" s="13" t="s">
        <v>116</v>
      </c>
      <c r="J17" s="16">
        <f ca="1">CHOOSE(WEEKDAY(TODAY(),2),TODAY()-3,TODAY()-1,TODAY()-1,TODAY()-1,TODAY()-1,TODAY()-1,TODAY()-2)</f>
        <v>42741</v>
      </c>
      <c r="L17" s="7"/>
    </row>
    <row r="18" spans="1:20" x14ac:dyDescent="0.25">
      <c r="A18" s="8" t="s">
        <v>135</v>
      </c>
      <c r="B18" s="8" t="str">
        <f ca="1">"&lt;Start&gt;" &amp; TEXT($J$19, "yyyy-mm-dd") &amp;"&lt;/Start&gt;&lt;End&gt;"&amp; TEXT( $J$15,"yyyy-mm-dd") &amp;"&lt;/End&gt;"</f>
        <v>&lt;Start&gt;2016-12-08&lt;/Start&gt;&lt;End&gt;2017-01-07&lt;/End&gt;</v>
      </c>
      <c r="C18" s="8" t="str">
        <f ca="1">"&lt;Start&gt;" &amp; TEXT($J$16, "yyyy-mm-dd") &amp;"&lt;/Start&gt;&lt;End&gt;"&amp; TEXT( $J$15,"yyyy-mm-dd") &amp;"&lt;/End&gt;"</f>
        <v>&lt;Start&gt;2016-12-31&lt;/Start&gt;&lt;End&gt;2017-01-07&lt;/End&gt;</v>
      </c>
      <c r="I18" s="38" t="s">
        <v>73</v>
      </c>
      <c r="J18" s="39">
        <f ca="1">DATE(L18, 9, 1)</f>
        <v>42614</v>
      </c>
      <c r="K18" s="48" t="s">
        <v>89</v>
      </c>
      <c r="L18" s="49">
        <f ca="1">IF(MONTH(J15)&gt;=9, YEAR(J15), YEAR(J15)-1)</f>
        <v>2016</v>
      </c>
    </row>
    <row r="19" spans="1:20" x14ac:dyDescent="0.25">
      <c r="A19" s="9"/>
      <c r="B19" s="9"/>
      <c r="I19" s="13" t="s">
        <v>115</v>
      </c>
      <c r="J19" s="16">
        <f ca="1">TODAY()-30</f>
        <v>42712</v>
      </c>
    </row>
    <row r="20" spans="1:20" x14ac:dyDescent="0.25">
      <c r="A20" s="54" t="s">
        <v>124</v>
      </c>
      <c r="B20" s="47" t="s">
        <v>125</v>
      </c>
      <c r="C20" s="47" t="s">
        <v>112</v>
      </c>
      <c r="I20" s="13" t="s">
        <v>114</v>
      </c>
      <c r="J20" s="16">
        <f ca="1">TODAY()-14</f>
        <v>42728</v>
      </c>
    </row>
    <row r="21" spans="1:20" ht="14.45" customHeight="1" x14ac:dyDescent="0.25">
      <c r="A21" s="6" t="s">
        <v>91</v>
      </c>
      <c r="B21" s="6" t="s">
        <v>91</v>
      </c>
      <c r="C21" s="6" t="s">
        <v>91</v>
      </c>
      <c r="I21" s="13" t="s">
        <v>113</v>
      </c>
      <c r="J21" s="51">
        <f ca="1">TODAY()+7</f>
        <v>42749</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&lt;Start&gt;2016-12-31&lt;/Start&gt;&lt;End&gt;2017-01-07&lt;/End&gt;</v>
      </c>
      <c r="C23" s="8" t="str">
        <f ca="1">"&lt;Start&gt;" &amp; TEXT($J$19, "yyyy-mm-dd") &amp;"&lt;/Start&gt;&lt;End&gt;"&amp; TEXT( $J$15,"yyyy-mm-dd") &amp;"&lt;/End&gt;"</f>
        <v>&lt;Start&gt;2016-12-08&lt;/Start&gt;&lt;End&gt;2017-01-07&lt;/End&gt;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&lt;Start&gt;2016-09-01&lt;/Start&gt;&lt;End&gt;2017-01-07&lt;/End&gt;</v>
      </c>
      <c r="B28" s="8" t="str">
        <f ca="1">"&lt;Start&gt;" &amp; TEXT($J$19, "yyyy-mm-dd") &amp;"&lt;/Start&gt;&lt;End&gt;"&amp; TEXT( $J$15,"yyyy-mm-dd") &amp;"&lt;/End&gt;"</f>
        <v>&lt;Start&gt;2016-12-08&lt;/Start&gt;&lt;End&gt;2017-01-07&lt;/End&gt;</v>
      </c>
      <c r="C28" s="8" t="str">
        <f ca="1">"&lt;Start&gt;" &amp; TEXT($J$16, "yyyy-mm-dd") &amp;"&lt;/Start&gt;&lt;End&gt;"&amp; TEXT( $J$15,"yyyy-mm-dd") &amp;"&lt;/End&gt;"</f>
        <v>&lt;Start&gt;2016-12-31&lt;/Start&gt;&lt;End&gt;2017-01-07&lt;/End&gt;</v>
      </c>
    </row>
    <row r="29" spans="1:20" x14ac:dyDescent="0.25">
      <c r="A29" s="9"/>
      <c r="B29" s="9"/>
    </row>
    <row r="31" spans="1:20" x14ac:dyDescent="0.25">
      <c r="A31" s="68" t="s">
        <v>132</v>
      </c>
      <c r="B31" s="68"/>
      <c r="I31" t="s">
        <v>177</v>
      </c>
      <c r="J31" s="66">
        <v>42742.728541666664</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&lt;Start&gt;2016-12-08&lt;/Start&gt;&lt;End&gt;2017-01-07&lt;/End&gt;</v>
      </c>
      <c r="B35" s="8" t="str">
        <f ca="1">"&lt;Start&gt;" &amp; TEXT($J$19, "yyyy-mm-dd") &amp;"&lt;/Start&gt;&lt;End&gt;"&amp; TEXT( $J$15,"yyyy-mm-dd") &amp;"&lt;/End&gt;"</f>
        <v>&lt;Start&gt;2016-12-08&lt;/Start&gt;&lt;End&gt;2017-01-07&lt;/End&gt;</v>
      </c>
      <c r="C35" s="8" t="str">
        <f ca="1">"&lt;Start&gt;" &amp; TEXT($J$19, "yyyy-mm-dd") &amp;"&lt;/Start&gt;&lt;End&gt;"&amp; TEXT( $J$15,"yyyy-mm-dd") &amp;"&lt;/End&gt;"</f>
        <v>&lt;Start&gt;2016-12-08&lt;/Start&gt;&lt;End&gt;2017-01-07&lt;/End&gt;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&lt;Start&gt;2016-12-08&lt;/Start&gt;&lt;End&gt;2017-01-07&lt;/End&gt;</v>
      </c>
      <c r="B40" s="8" t="str">
        <f ca="1">"&lt;Start&gt;" &amp; TEXT($J$19, "yyyy-mm-dd") &amp;"&lt;/Start&gt;&lt;End&gt;"&amp; TEXT( $J$15,"yyyy-mm-dd") &amp;"&lt;/End&gt;"</f>
        <v>&lt;Start&gt;2016-12-08&lt;/Start&gt;&lt;End&gt;2017-01-07&lt;/End&gt;</v>
      </c>
      <c r="C40" s="8" t="str">
        <f ca="1">"&lt;Start&gt;" &amp; TEXT($J$19, "yyyy-mm-dd") &amp;"&lt;/Start&gt;&lt;End&gt;"&amp; TEXT( $J$15,"yyyy-mm-dd") &amp;"&lt;/End&gt;"</f>
        <v>&lt;Start&gt;2016-12-08&lt;/Start&gt;&lt;End&gt;2017-01-07&lt;/End&gt;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&lt;Start&gt;2016-09-01&lt;/Start&gt;&lt;End&gt;2017-01-07&lt;/End&gt;</v>
      </c>
      <c r="B45" s="8" t="str">
        <f ca="1">"&lt;Start&gt;" &amp; TEXT($J$19, "yyyy-mm-dd") &amp;"&lt;/Start&gt;&lt;End&gt;"&amp; TEXT( $J$15,"yyyy-mm-dd") &amp;"&lt;/End&gt;"</f>
        <v>&lt;Start&gt;2016-12-08&lt;/Start&gt;&lt;End&gt;2017-01-07&lt;/End&gt;</v>
      </c>
      <c r="C45" s="8" t="str">
        <f ca="1">"&lt;Start&gt;" &amp; TEXT($J$19, "yyyy-mm-dd") &amp;"&lt;/Start&gt;&lt;End&gt;"&amp; TEXT( $J$15,"yyyy-mm-dd") &amp;"&lt;/End&gt;"</f>
        <v>&lt;Start&gt;2016-12-08&lt;/Start&gt;&lt;End&gt;2017-01-07&lt;/End&gt;</v>
      </c>
    </row>
    <row r="46" spans="1:9" x14ac:dyDescent="0.25">
      <c r="A46" s="9"/>
      <c r="B46" s="9"/>
    </row>
    <row r="47" spans="1:9" x14ac:dyDescent="0.25">
      <c r="A47" s="1"/>
    </row>
    <row r="48" spans="1:9" x14ac:dyDescent="0.25">
      <c r="A48" s="1"/>
    </row>
    <row r="49" spans="1:15" x14ac:dyDescent="0.25">
      <c r="A49" s="69" t="s">
        <v>72</v>
      </c>
      <c r="B49" s="69"/>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70"/>
      <c r="B117" s="70"/>
    </row>
    <row r="118" spans="1:2" ht="15" customHeight="1" x14ac:dyDescent="0.25">
      <c r="A118" s="72"/>
      <c r="B118" s="72"/>
    </row>
    <row r="119" spans="1:2" x14ac:dyDescent="0.25">
      <c r="A119" s="70"/>
      <c r="B119" s="70"/>
    </row>
    <row r="120" spans="1:2" x14ac:dyDescent="0.25">
      <c r="A120" s="70"/>
      <c r="B120" s="70"/>
    </row>
    <row r="121" spans="1:2" x14ac:dyDescent="0.25">
      <c r="A121" s="70"/>
      <c r="B121" s="70"/>
    </row>
    <row r="122" spans="1:2" x14ac:dyDescent="0.25">
      <c r="A122" s="71"/>
      <c r="B122" s="71"/>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sqref="A1:H1"/>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162</v>
      </c>
      <c r="B1" s="60" t="s">
        <v>161</v>
      </c>
      <c r="C1" s="61" t="s">
        <v>169</v>
      </c>
      <c r="D1" s="61" t="s">
        <v>170</v>
      </c>
      <c r="E1" s="61" t="s">
        <v>165</v>
      </c>
      <c r="F1" s="61" t="s">
        <v>166</v>
      </c>
      <c r="G1" s="61" t="s">
        <v>167</v>
      </c>
      <c r="H1" s="60" t="s">
        <v>168</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29"/>
  <sheetViews>
    <sheetView tabSelected="1" topLeftCell="A17" workbookViewId="0">
      <selection activeCell="E27" sqref="E27"/>
    </sheetView>
  </sheetViews>
  <sheetFormatPr defaultRowHeight="15" x14ac:dyDescent="0.25"/>
  <cols>
    <col min="2" max="2" width="29.28515625" customWidth="1"/>
    <col min="3" max="3" width="36.42578125" customWidth="1"/>
    <col min="4" max="5" width="26.28515625" style="58" customWidth="1"/>
  </cols>
  <sheetData>
    <row r="1" spans="1:5" x14ac:dyDescent="0.25">
      <c r="A1" t="s">
        <v>172</v>
      </c>
      <c r="B1" t="s">
        <v>173</v>
      </c>
      <c r="C1" t="s">
        <v>175</v>
      </c>
      <c r="D1" s="58" t="s">
        <v>174</v>
      </c>
      <c r="E1" s="58" t="s">
        <v>178</v>
      </c>
    </row>
    <row r="2" spans="1:5" x14ac:dyDescent="0.25">
      <c r="A2">
        <v>1</v>
      </c>
      <c r="B2" s="67">
        <v>42887.879479166666</v>
      </c>
      <c r="C2" t="s">
        <v>179</v>
      </c>
      <c r="D2" s="58" t="s">
        <v>180</v>
      </c>
      <c r="E2" s="58" t="s">
        <v>180</v>
      </c>
    </row>
    <row r="3" spans="1:5" x14ac:dyDescent="0.25">
      <c r="A3">
        <v>2</v>
      </c>
      <c r="B3" s="67">
        <v>42887.88422453704</v>
      </c>
      <c r="C3" t="s">
        <v>181</v>
      </c>
      <c r="D3" s="58" t="s">
        <v>182</v>
      </c>
      <c r="E3" s="58" t="s">
        <v>183</v>
      </c>
    </row>
    <row r="4" spans="1:5" x14ac:dyDescent="0.25">
      <c r="A4">
        <v>3</v>
      </c>
      <c r="B4" s="67">
        <v>42887.884814814817</v>
      </c>
      <c r="C4" t="s">
        <v>181</v>
      </c>
      <c r="D4" s="58" t="s">
        <v>182</v>
      </c>
      <c r="E4" s="58" t="s">
        <v>183</v>
      </c>
    </row>
    <row r="5" spans="1:5" x14ac:dyDescent="0.25">
      <c r="A5">
        <v>4</v>
      </c>
      <c r="B5" s="67">
        <v>42887.884965277779</v>
      </c>
      <c r="C5" t="s">
        <v>181</v>
      </c>
      <c r="D5" s="58" t="s">
        <v>182</v>
      </c>
      <c r="E5" s="58" t="s">
        <v>183</v>
      </c>
    </row>
    <row r="6" spans="1:5" x14ac:dyDescent="0.25">
      <c r="A6">
        <v>5</v>
      </c>
      <c r="B6" s="67">
        <v>42887.885011574072</v>
      </c>
      <c r="C6" t="s">
        <v>181</v>
      </c>
      <c r="D6" s="58" t="s">
        <v>182</v>
      </c>
      <c r="E6" s="58" t="s">
        <v>183</v>
      </c>
    </row>
    <row r="7" spans="1:5" x14ac:dyDescent="0.25">
      <c r="A7">
        <v>6</v>
      </c>
      <c r="B7" s="67">
        <v>42887.885567129626</v>
      </c>
      <c r="C7" t="s">
        <v>184</v>
      </c>
      <c r="D7" s="58" t="s">
        <v>182</v>
      </c>
      <c r="E7" s="58" t="s">
        <v>185</v>
      </c>
    </row>
    <row r="8" spans="1:5" x14ac:dyDescent="0.25">
      <c r="A8">
        <v>7</v>
      </c>
      <c r="B8" s="67">
        <v>42887.885567129626</v>
      </c>
      <c r="C8" t="s">
        <v>186</v>
      </c>
      <c r="D8" s="58" t="s">
        <v>187</v>
      </c>
      <c r="E8" s="58" t="s">
        <v>187</v>
      </c>
    </row>
    <row r="9" spans="1:5" x14ac:dyDescent="0.25">
      <c r="A9">
        <v>8</v>
      </c>
      <c r="B9" s="67">
        <v>42887.886400462965</v>
      </c>
      <c r="C9" t="s">
        <v>181</v>
      </c>
      <c r="D9" s="58" t="s">
        <v>182</v>
      </c>
      <c r="E9" s="58" t="s">
        <v>183</v>
      </c>
    </row>
    <row r="10" spans="1:5" x14ac:dyDescent="0.25">
      <c r="A10">
        <v>9</v>
      </c>
      <c r="B10" s="67">
        <v>42887.887349537035</v>
      </c>
      <c r="C10" t="s">
        <v>184</v>
      </c>
      <c r="D10" s="58" t="s">
        <v>182</v>
      </c>
      <c r="E10" s="58" t="s">
        <v>185</v>
      </c>
    </row>
    <row r="11" spans="1:5" x14ac:dyDescent="0.25">
      <c r="A11">
        <v>10</v>
      </c>
      <c r="B11" s="67">
        <v>42887.887349537035</v>
      </c>
      <c r="C11" t="s">
        <v>186</v>
      </c>
      <c r="D11" s="58" t="s">
        <v>187</v>
      </c>
      <c r="E11" s="58" t="s">
        <v>187</v>
      </c>
    </row>
    <row r="12" spans="1:5" x14ac:dyDescent="0.25">
      <c r="A12">
        <v>11</v>
      </c>
      <c r="B12" s="67">
        <v>42887.88858796296</v>
      </c>
      <c r="C12" t="s">
        <v>181</v>
      </c>
      <c r="D12" s="58" t="s">
        <v>182</v>
      </c>
      <c r="E12" s="58" t="s">
        <v>183</v>
      </c>
    </row>
    <row r="13" spans="1:5" x14ac:dyDescent="0.25">
      <c r="A13">
        <v>12</v>
      </c>
      <c r="B13" s="67">
        <v>42887.888796296298</v>
      </c>
      <c r="C13" t="s">
        <v>184</v>
      </c>
      <c r="D13" s="58" t="s">
        <v>182</v>
      </c>
      <c r="E13" s="58" t="s">
        <v>185</v>
      </c>
    </row>
    <row r="14" spans="1:5" x14ac:dyDescent="0.25">
      <c r="A14">
        <v>13</v>
      </c>
      <c r="B14" s="67">
        <v>42887.888796296298</v>
      </c>
      <c r="C14" t="s">
        <v>186</v>
      </c>
      <c r="D14" s="58" t="s">
        <v>187</v>
      </c>
      <c r="E14" s="58" t="s">
        <v>187</v>
      </c>
    </row>
    <row r="15" spans="1:5" x14ac:dyDescent="0.25">
      <c r="A15">
        <v>14</v>
      </c>
      <c r="B15" s="67">
        <v>42887.889675925922</v>
      </c>
      <c r="C15" t="s">
        <v>181</v>
      </c>
      <c r="D15" s="58" t="s">
        <v>182</v>
      </c>
      <c r="E15" s="58" t="s">
        <v>183</v>
      </c>
    </row>
    <row r="16" spans="1:5" x14ac:dyDescent="0.25">
      <c r="A16">
        <v>15</v>
      </c>
      <c r="B16" s="67">
        <v>42917.690532407411</v>
      </c>
      <c r="C16" t="s">
        <v>184</v>
      </c>
      <c r="D16" s="58" t="s">
        <v>182</v>
      </c>
      <c r="E16" s="58" t="s">
        <v>188</v>
      </c>
    </row>
    <row r="17" spans="1:5" x14ac:dyDescent="0.25">
      <c r="A17">
        <v>16</v>
      </c>
      <c r="B17" s="67">
        <v>42917.69054398148</v>
      </c>
      <c r="C17" t="s">
        <v>184</v>
      </c>
      <c r="D17" s="58" t="s">
        <v>182</v>
      </c>
      <c r="E17" s="58" t="s">
        <v>189</v>
      </c>
    </row>
    <row r="18" spans="1:5" x14ac:dyDescent="0.25">
      <c r="A18">
        <v>17</v>
      </c>
      <c r="B18" s="67">
        <v>42917.691990740743</v>
      </c>
      <c r="C18" t="s">
        <v>181</v>
      </c>
      <c r="D18" s="58" t="s">
        <v>182</v>
      </c>
      <c r="E18" s="58" t="s">
        <v>183</v>
      </c>
    </row>
    <row r="19" spans="1:5" x14ac:dyDescent="0.25">
      <c r="A19">
        <v>18</v>
      </c>
      <c r="B19" s="67">
        <v>42917.702187499999</v>
      </c>
      <c r="C19" t="s">
        <v>181</v>
      </c>
      <c r="D19" s="58" t="s">
        <v>182</v>
      </c>
      <c r="E19" s="58" t="s">
        <v>183</v>
      </c>
    </row>
    <row r="20" spans="1:5" x14ac:dyDescent="0.25">
      <c r="A20">
        <v>19</v>
      </c>
      <c r="B20" s="67">
        <v>42917.703414351854</v>
      </c>
      <c r="C20" t="s">
        <v>181</v>
      </c>
      <c r="D20" s="58" t="s">
        <v>182</v>
      </c>
      <c r="E20" s="58" t="s">
        <v>183</v>
      </c>
    </row>
    <row r="21" spans="1:5" x14ac:dyDescent="0.25">
      <c r="A21">
        <v>20</v>
      </c>
      <c r="B21" s="67">
        <v>42917.716898148145</v>
      </c>
      <c r="C21" t="s">
        <v>181</v>
      </c>
      <c r="D21" s="58" t="s">
        <v>182</v>
      </c>
      <c r="E21" s="58" t="s">
        <v>183</v>
      </c>
    </row>
    <row r="22" spans="1:5" x14ac:dyDescent="0.25">
      <c r="A22">
        <v>21</v>
      </c>
      <c r="B22" s="67">
        <v>42917.725578703707</v>
      </c>
      <c r="C22" t="s">
        <v>181</v>
      </c>
      <c r="D22" s="58" t="s">
        <v>182</v>
      </c>
      <c r="E22" s="58" t="s">
        <v>183</v>
      </c>
    </row>
    <row r="23" spans="1:5" x14ac:dyDescent="0.25">
      <c r="A23">
        <v>22</v>
      </c>
      <c r="B23" s="67">
        <v>42917.726006944446</v>
      </c>
      <c r="C23" t="s">
        <v>181</v>
      </c>
      <c r="D23" s="58" t="s">
        <v>182</v>
      </c>
      <c r="E23" s="58" t="s">
        <v>183</v>
      </c>
    </row>
    <row r="24" spans="1:5" x14ac:dyDescent="0.25">
      <c r="A24">
        <v>23</v>
      </c>
      <c r="B24" s="67">
        <v>42917.727037037039</v>
      </c>
      <c r="C24" t="s">
        <v>181</v>
      </c>
      <c r="D24" s="58" t="s">
        <v>182</v>
      </c>
      <c r="E24" s="58" t="s">
        <v>183</v>
      </c>
    </row>
    <row r="25" spans="1:5" x14ac:dyDescent="0.25">
      <c r="A25">
        <v>24</v>
      </c>
      <c r="B25" s="67">
        <v>42917.727696759262</v>
      </c>
      <c r="C25" t="s">
        <v>181</v>
      </c>
      <c r="D25" s="58" t="s">
        <v>182</v>
      </c>
      <c r="E25" s="58" t="s">
        <v>183</v>
      </c>
    </row>
    <row r="26" spans="1:5" x14ac:dyDescent="0.25">
      <c r="A26">
        <v>25</v>
      </c>
      <c r="B26" s="67">
        <v>42917.727743055555</v>
      </c>
      <c r="C26" t="s">
        <v>181</v>
      </c>
      <c r="D26" s="58" t="s">
        <v>182</v>
      </c>
      <c r="E26" s="58" t="s">
        <v>183</v>
      </c>
    </row>
    <row r="27" spans="1:5" x14ac:dyDescent="0.25">
      <c r="A27">
        <v>26</v>
      </c>
      <c r="B27" s="67">
        <v>42917.728067129632</v>
      </c>
      <c r="C27" t="s">
        <v>184</v>
      </c>
      <c r="D27" s="58" t="s">
        <v>182</v>
      </c>
      <c r="E27" s="58" t="s">
        <v>185</v>
      </c>
    </row>
    <row r="28" spans="1:5" x14ac:dyDescent="0.25">
      <c r="A28">
        <v>27</v>
      </c>
      <c r="B28" s="67">
        <v>42917.728067129632</v>
      </c>
      <c r="C28" t="s">
        <v>186</v>
      </c>
      <c r="D28" s="58" t="s">
        <v>187</v>
      </c>
      <c r="E28" s="58" t="s">
        <v>187</v>
      </c>
    </row>
    <row r="29" spans="1:5" x14ac:dyDescent="0.25">
      <c r="A29">
        <v>28</v>
      </c>
      <c r="B29" s="67">
        <v>42917.728541666664</v>
      </c>
      <c r="C29" t="s">
        <v>181</v>
      </c>
      <c r="D29" s="58" t="s">
        <v>182</v>
      </c>
      <c r="E29" s="5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2017-01-07T17:29:06Z</dcterms:modified>
</cp:coreProperties>
</file>