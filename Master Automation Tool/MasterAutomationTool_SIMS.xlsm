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hidePivotFieldList="1" defaultThemeVersion="124226"/>
  <mc:AlternateContent xmlns:mc="http://schemas.openxmlformats.org/markup-compatibility/2006">
    <mc:Choice Requires="x15">
      <x15ac:absPath xmlns:x15ac="http://schemas.microsoft.com/office/spreadsheetml/2010/11/ac" url="C:\_Dropbox\Dropbox\Git\SIMS Automation Project\SIMS-Automation-Project\Master Automation Tool\"/>
    </mc:Choice>
  </mc:AlternateContent>
  <bookViews>
    <workbookView xWindow="0" yWindow="0" windowWidth="20490" windowHeight="8115" firstSheet="2" activeTab="3"/>
  </bookViews>
  <sheets>
    <sheet name="Set up" sheetId="21" r:id="rId1"/>
    <sheet name="ReportLog" sheetId="166" r:id="rId2"/>
    <sheet name="ReportList" sheetId="165" r:id="rId3"/>
    <sheet name="SystemLog" sheetId="167" r:id="rId4"/>
    <sheet name="TODOs" sheetId="44" r:id="rId5"/>
    <sheet name="Sheet1" sheetId="164" r:id="rId6"/>
  </sheets>
  <functionGroups builtInGroupCount="18"/>
  <calcPr calcId="171027"/>
</workbook>
</file>

<file path=xl/calcChain.xml><?xml version="1.0" encoding="utf-8"?>
<calcChain xmlns="http://schemas.openxmlformats.org/spreadsheetml/2006/main">
  <c r="C3" i="165" l="1"/>
  <c r="J21" i="21"/>
  <c r="J20" i="21"/>
  <c r="J19" i="21"/>
  <c r="J17" i="21"/>
  <c r="J16" i="21"/>
  <c r="J15" i="21"/>
  <c r="L18" i="21" s="1"/>
  <c r="J18" i="21" s="1"/>
  <c r="B45" i="21" l="1"/>
  <c r="C18" i="21"/>
  <c r="A40" i="21"/>
  <c r="C45" i="21"/>
  <c r="B23" i="21"/>
  <c r="C40" i="21"/>
  <c r="C28" i="21"/>
  <c r="A28" i="21"/>
  <c r="A45" i="21"/>
  <c r="B18" i="21"/>
  <c r="C23" i="21"/>
  <c r="A35" i="21"/>
  <c r="B28" i="21"/>
  <c r="C35" i="21"/>
  <c r="B40" i="21"/>
  <c r="B35" i="21"/>
</calcChain>
</file>

<file path=xl/comments1.xml><?xml version="1.0" encoding="utf-8"?>
<comments xmlns="http://schemas.openxmlformats.org/spreadsheetml/2006/main">
  <authors>
    <author>Faux, Nicholas (CCS)</author>
  </authors>
  <commentList>
    <comment ref="K3" authorId="0" shapeId="0">
      <text>
        <r>
          <rPr>
            <sz val="9"/>
            <color indexed="81"/>
            <rFont val="Tahoma"/>
            <family val="2"/>
          </rPr>
          <t xml:space="preserve">Either run from .bat file or direct from Cmd prompt
</t>
        </r>
      </text>
    </comment>
    <comment ref="A4" authorId="0" shapeId="0">
      <text>
        <r>
          <rPr>
            <sz val="9"/>
            <color indexed="81"/>
            <rFont val="Tahoma"/>
            <family val="2"/>
          </rPr>
          <t>Find this from SIMS | Help | System Information
Leave blank to use default values from Connect.ini</t>
        </r>
      </text>
    </comment>
    <comment ref="A5" authorId="0" shapeId="0">
      <text>
        <r>
          <rPr>
            <sz val="9"/>
            <color indexed="81"/>
            <rFont val="Tahoma"/>
            <family val="2"/>
          </rPr>
          <t xml:space="preserve">Find this from SIMS | Help | System Information
Leave blank to use default values from Connect.ini
</t>
        </r>
      </text>
    </comment>
    <comment ref="A6" authorId="0" shapeId="0">
      <text>
        <r>
          <rPr>
            <sz val="9"/>
            <color indexed="81"/>
            <rFont val="Tahoma"/>
            <family val="2"/>
          </rPr>
          <t>Use Absolute path rather than mapped drive.
Could also be saved to cloud (eg Onedrive).
Leave blank to use same path as dashboard file.</t>
        </r>
      </text>
    </comment>
    <comment ref="A8" authorId="0" shapeId="0">
      <text>
        <r>
          <rPr>
            <sz val="9"/>
            <color indexed="81"/>
            <rFont val="Tahoma"/>
            <family val="2"/>
          </rPr>
          <t xml:space="preserve">Separate with semicolons
</t>
        </r>
      </text>
    </comment>
    <comment ref="A9" authorId="0" shapeId="0">
      <text>
        <r>
          <rPr>
            <sz val="9"/>
            <color indexed="81"/>
            <rFont val="Tahoma"/>
            <family val="2"/>
          </rPr>
          <t>If blank, will not attempt to send emails
If using Outlook rather than SMTP, then just add "Outlook" or similar.</t>
        </r>
      </text>
    </comment>
    <comment ref="A10" authorId="0" shapeId="0">
      <text>
        <r>
          <rPr>
            <sz val="9"/>
            <color indexed="81"/>
            <rFont val="Tahoma"/>
            <family val="2"/>
          </rPr>
          <t>Use mapped drive for conciseness or to avoid spaces which render hyperlink unclickable</t>
        </r>
      </text>
    </comment>
    <comment ref="I13" authorId="0" shapeId="0">
      <text>
        <r>
          <rPr>
            <sz val="9"/>
            <color indexed="81"/>
            <rFont val="Tahoma"/>
            <family val="2"/>
          </rPr>
          <t xml:space="preserve">Yes or blank
</t>
        </r>
      </text>
    </comment>
    <comment ref="J15" authorId="0" shapeId="0">
      <text>
        <r>
          <rPr>
            <sz val="9"/>
            <color indexed="81"/>
            <rFont val="Tahoma"/>
            <family val="2"/>
          </rPr>
          <t>Enter specific date yyyy-mm-dd
or 
=TODAY()</t>
        </r>
      </text>
    </comment>
    <comment ref="J16" authorId="0" shapeId="0">
      <text>
        <r>
          <rPr>
            <sz val="9"/>
            <color indexed="81"/>
            <rFont val="Tahoma"/>
            <family val="2"/>
          </rPr>
          <t>Enter date yyyy-mm-dd
 or 
=Today() - 7 etc</t>
        </r>
      </text>
    </comment>
  </commentList>
</comments>
</file>

<file path=xl/sharedStrings.xml><?xml version="1.0" encoding="utf-8"?>
<sst xmlns="http://schemas.openxmlformats.org/spreadsheetml/2006/main" count="912" uniqueCount="204">
  <si>
    <t>Location of CommandReporter.exe</t>
  </si>
  <si>
    <t>Database name</t>
  </si>
  <si>
    <t xml:space="preserve">Save Output file to </t>
  </si>
  <si>
    <t>School name</t>
  </si>
  <si>
    <t>Password of SIMS user with permission to run reports</t>
  </si>
  <si>
    <t>User name of SIMS user with permission to run reports</t>
  </si>
  <si>
    <t>SIMS reports</t>
  </si>
  <si>
    <t>This file ("Dashboard")</t>
  </si>
  <si>
    <t>Fill in the name and password of the SIMS user who can run the reports (often set up specifically to run reports and nothing else)</t>
  </si>
  <si>
    <t>Data in the form of .csv files will be written to this same folder, so ensure that the logged on user running this macro enabled Excel workbook (not necessarily the same as the SIMS user) has Write permissions</t>
  </si>
  <si>
    <t>The output file ("Todays's Output")</t>
  </si>
  <si>
    <t>Check the location of CommandReporter.exe and amend cell B3 if different</t>
  </si>
  <si>
    <t>Make sure radio button "Set up mode" is selected</t>
  </si>
  <si>
    <t>Run the report</t>
  </si>
  <si>
    <t>Running first time</t>
  </si>
  <si>
    <t>Adding columns</t>
  </si>
  <si>
    <t>It may be necessary to add a further column, for example to calculate % attendance</t>
  </si>
  <si>
    <t>Record a macro as you do it.  Give the macro a sensible name. Put a title in Row 1 cell. Enter the calculation in the second cell down.  Autofill  to well beyond the last row to accommodate reports with more rows (eg more pupils in school). Format column to percent if necessary. Stop recording.</t>
  </si>
  <si>
    <t>Edit the auto_open macro. Scroll down to just above the end and find 'Add extra tasks here'.  Call your subroutine</t>
  </si>
  <si>
    <t>The Per_cent_col is available for use as a sample - just edit the column letters.</t>
  </si>
  <si>
    <t>Setting up the pivot tables</t>
  </si>
  <si>
    <t>Now go to each pivot table in turn, click on each one and from the ribbon "Change data Source". Highlight the columns to include all the data (Complete columns, not just down to the last row)</t>
  </si>
  <si>
    <t>Drag the fields to the correct boxes - typically Year Group for the row, and Average of Attendance or Behaviour points for values.</t>
  </si>
  <si>
    <t>You may need to sort the years into order</t>
  </si>
  <si>
    <t>You may need to format columns as % and change the number of decimal places</t>
  </si>
  <si>
    <t>Check the "Dashboard" sheet</t>
  </si>
  <si>
    <t>Check that charts are correct</t>
  </si>
  <si>
    <t>Adjust axes as necessary (for eample, start the vertical axis at 90% in the case of attendance)</t>
  </si>
  <si>
    <t>Testing</t>
  </si>
  <si>
    <t>Delete the sheets of report data ("Report1" etc) and delete the .csv files from the folder ("Report1.csv" etc)</t>
  </si>
  <si>
    <t>Save and close the workbook.</t>
  </si>
  <si>
    <t>Open it again and check all is OK</t>
  </si>
  <si>
    <t>Finally</t>
  </si>
  <si>
    <t>Create a "Backup" folder and save a copy of this workbook.  Don't change its name.  You will need this copy in case you need to make later changes.</t>
  </si>
  <si>
    <t>Change the radio button to "Operating mode".  This time it will not pause, will delete the "Set - up" sheet, hide other sheets, and hide tool bars.</t>
  </si>
  <si>
    <t>Save and close</t>
  </si>
  <si>
    <t>Made a mistake?</t>
  </si>
  <si>
    <t>The best option is to use the back up copy which is still in "Set up" mode</t>
  </si>
  <si>
    <t xml:space="preserve">Otherwise you will have to try and interrupt the macro as it is running with Fn / Ctrl /B </t>
  </si>
  <si>
    <t>Add school name, report names; remove legends etc as required</t>
  </si>
  <si>
    <t>Report details</t>
  </si>
  <si>
    <t>Setting a date range</t>
  </si>
  <si>
    <t>email</t>
  </si>
  <si>
    <t>Server name\Instance</t>
  </si>
  <si>
    <t>Set scheduled task</t>
  </si>
  <si>
    <t>As usual, except that may need to specify full path to Excel.exe and file to be opened as argument.</t>
  </si>
  <si>
    <t>email from</t>
  </si>
  <si>
    <t>Dashboard zoom setting (%)</t>
  </si>
  <si>
    <t xml:space="preserve"> </t>
  </si>
  <si>
    <t>Yes</t>
  </si>
  <si>
    <t>Rename charts (Layouts, Properties, Chart name)</t>
  </si>
  <si>
    <t>Ensure in Outline form, otherwise drilldown will not work if rows are split (eg M/F)</t>
  </si>
  <si>
    <t>Send emails to</t>
  </si>
  <si>
    <t>Check the report design and ensure date ranges and run-time parameters have  default values selected. Tick  "prompt at run-time" if you are supplying parameters.</t>
  </si>
  <si>
    <t>Fill in the exact names of the reports in the table above.</t>
  </si>
  <si>
    <t>For absolute dates, add dates directly to rows 18 and 23 etc, or use direct from Reportparams</t>
  </si>
  <si>
    <t>For a relative range (eg last 7 days), use the calculator in J15 to J17 and then concatenate, using TEXT(J15,"yyyy-mm-dd") to keep dates in correct format</t>
  </si>
  <si>
    <t>Save this file ("Dashboard") on a client PC or the server. A server is preferred as it is always running, so the report can be scheduled to run at night, but Excel may not be installed.</t>
  </si>
  <si>
    <t>Fill in details above. Check that emails can be relayed to smtp server</t>
  </si>
  <si>
    <t>In this mode, the macro will pause before running the CommandReporter, and will skip the final "Tidying up" stages.</t>
  </si>
  <si>
    <t>Try and watch what is appearing on the black screens each time the CommandReporter runs (once per report).  It should log in, find the report, run the report.  If it is too quick or there is an error later, it has probably failed.  If it has been successful, it will have saved a "Report1/2/3/4.csv" file to the same folder as the "Dashboard" file is stored.</t>
  </si>
  <si>
    <t>There should be a sheet ("Report1" etc) in this workbook for each set of data.  Check that they all look OK.</t>
  </si>
  <si>
    <t>Note - if you change the location of this Dashboard file you must update the source of the pivot TABLE data (not the chart). Be aware that it also keeps a hidden copy, even if you delete it.</t>
  </si>
  <si>
    <t>Filter the rows to remove blanks (but ensure that use "include new items in manual filter" otherwise fields that appear later will not display, eg behaviour</t>
  </si>
  <si>
    <t>Change other settings (such as message and heading) in line 278 and following.</t>
  </si>
  <si>
    <t>Path for email</t>
  </si>
  <si>
    <t>Skip weekends?</t>
  </si>
  <si>
    <t>smtp server eg smtpserver.local</t>
  </si>
  <si>
    <t>Click the "Get Parameters" utility to get report parameter. Will save to same location as Dashboard. Copy and paste id into rows 17 and 22. The macro will replace " with ' automatically</t>
  </si>
  <si>
    <t>For reports using  a single date, use =CONCATENATE("&lt;DATE&gt;",TEXT(J16,"yyyy-mm-dd"),"&lt;/DATE&gt;")</t>
  </si>
  <si>
    <t>Use separate folders if multiple copies for different audiences</t>
  </si>
  <si>
    <t>Bat file string for testing</t>
  </si>
  <si>
    <t>Follow these instructions carefully.  Only change cells shaded green! (Full instructions available separately)</t>
  </si>
  <si>
    <t>Start of year</t>
  </si>
  <si>
    <t>Today</t>
  </si>
  <si>
    <t>Outlook</t>
  </si>
  <si>
    <t>Version 3v</t>
  </si>
  <si>
    <t>For support, contact</t>
  </si>
  <si>
    <t>Nick Faux</t>
  </si>
  <si>
    <t>School Improvement Consultant</t>
  </si>
  <si>
    <r>
      <t xml:space="preserve">M: </t>
    </r>
    <r>
      <rPr>
        <sz val="10"/>
        <color rgb="FF7F7F7F"/>
        <rFont val="Arial"/>
        <family val="2"/>
      </rPr>
      <t>07710 383223</t>
    </r>
  </si>
  <si>
    <t>E: nicholas.faux@capita.co.uk</t>
  </si>
  <si>
    <t>Capita SIMS</t>
  </si>
  <si>
    <r>
      <t>T:</t>
    </r>
    <r>
      <rPr>
        <sz val="10"/>
        <color rgb="FF7F7F7F"/>
        <rFont val="Arial"/>
        <family val="2"/>
      </rPr>
      <t xml:space="preserve"> 01234 838080</t>
    </r>
  </si>
  <si>
    <r>
      <t>F:</t>
    </r>
    <r>
      <rPr>
        <sz val="10"/>
        <color rgb="FF747678"/>
        <rFont val="Arial"/>
        <family val="2"/>
      </rPr>
      <t xml:space="preserve"> 01234 832182</t>
    </r>
  </si>
  <si>
    <t>www.capita-sims.co.uk</t>
  </si>
  <si>
    <t>peinture</t>
  </si>
  <si>
    <t>C:\Program Files\SIMS\SIMS .net</t>
  </si>
  <si>
    <t>f.admin</t>
  </si>
  <si>
    <t>September 1st of this year</t>
  </si>
  <si>
    <t>Check this</t>
  </si>
  <si>
    <t>Automation - Behaviour (DateFromTo)</t>
  </si>
  <si>
    <t>Barlow RC High</t>
  </si>
  <si>
    <t>"C:\Program Files\SIMS\SIMS .net\CommandReporter.exe" /USER:f.admin /PASSWORD:peinture /SERVERNAME: /DATABASENAME: /REPORT:"_AutomationTestCLR" /OUTPUT:"T:\Staff Resources\Data Management\_2015-16\2016 02 18 - SISM automation and dashboard\Report9.csv" /PARAMS:</t>
  </si>
  <si>
    <t>&lt;Start&gt;2016-12-05T14:38:36&lt;/Start&gt;&lt;End&gt;2016-12-12T14:38:36&lt;/End&gt;</t>
  </si>
  <si>
    <t>&lt;Parameter id='61jJQgmWcKF6KBylfgHxlQ==' subreportfilter='True'&gt;</t>
  </si>
  <si>
    <t>Report9 - Last Week</t>
  </si>
  <si>
    <t>Report8 - Last Month (30 days)</t>
  </si>
  <si>
    <t>DEBUG MODE?</t>
  </si>
  <si>
    <r>
      <t xml:space="preserve">Decide where the daily report will be saved and fill in the path above.  Check that the logged on user running this macro enabled Excel workbook (not necessarily the same as the SIMS user) has Write permissions. </t>
    </r>
    <r>
      <rPr>
        <b/>
        <sz val="11"/>
        <color theme="1"/>
        <rFont val="Calibri"/>
        <family val="2"/>
        <scheme val="minor"/>
      </rPr>
      <t>Path must be full (:\\Sims\....) rather than mapped drive specific to user (eg S:SIMS..) else scheduled task will not work.</t>
    </r>
  </si>
  <si>
    <t>todo list</t>
  </si>
  <si>
    <t>write date to dashboard when output (not as field, should not autocalc).</t>
  </si>
  <si>
    <t>save output with date range it relates to (if we use a global range on this).</t>
  </si>
  <si>
    <t>run off config file instead of these parameters (then the auto_open will be the right approach, as it can be stopped at any point).</t>
  </si>
  <si>
    <t>Report7 - Start of Year</t>
  </si>
  <si>
    <t>T:\General\Examinations\Daily Procedures 2016\SIMS Management and Setup\Tools\Behaviour dashboard (Source SIMS)\Barlow attempt 1\outputs</t>
  </si>
  <si>
    <t>temporary value</t>
  </si>
  <si>
    <t>datestamp outputs</t>
  </si>
  <si>
    <t>f.rackham@thebarlowrchigh.co.uk;s.platt@thebarlowrchigh.co.uk</t>
  </si>
  <si>
    <t>Report1 - Location this week</t>
  </si>
  <si>
    <t>Add option explicit to the code, and dimension the variables.</t>
  </si>
  <si>
    <t>Report2 - PP Last 30 Days</t>
  </si>
  <si>
    <t>Report6-StaffThisMonth</t>
  </si>
  <si>
    <r>
      <t xml:space="preserve">7 days </t>
    </r>
    <r>
      <rPr>
        <sz val="11"/>
        <color theme="3" tint="0.39997558519241921"/>
        <rFont val="Calibri"/>
        <family val="2"/>
        <scheme val="minor"/>
      </rPr>
      <t>time</t>
    </r>
  </si>
  <si>
    <r>
      <t xml:space="preserve">14 days </t>
    </r>
    <r>
      <rPr>
        <sz val="11"/>
        <color theme="5" tint="-0.249977111117893"/>
        <rFont val="Calibri"/>
        <family val="2"/>
        <scheme val="minor"/>
      </rPr>
      <t>ago</t>
    </r>
  </si>
  <si>
    <r>
      <t xml:space="preserve">30 days </t>
    </r>
    <r>
      <rPr>
        <sz val="11"/>
        <color theme="5" tint="-0.249977111117893"/>
        <rFont val="Calibri"/>
        <family val="2"/>
        <scheme val="minor"/>
      </rPr>
      <t>ago</t>
    </r>
  </si>
  <si>
    <r>
      <rPr>
        <sz val="11"/>
        <color theme="5" tint="-0.249977111117893"/>
        <rFont val="Calibri"/>
        <family val="2"/>
        <scheme val="minor"/>
      </rPr>
      <t>Previous</t>
    </r>
    <r>
      <rPr>
        <sz val="11"/>
        <color theme="1"/>
        <rFont val="Calibri"/>
        <family val="2"/>
        <scheme val="minor"/>
      </rPr>
      <t xml:space="preserve"> working day</t>
    </r>
  </si>
  <si>
    <r>
      <t xml:space="preserve">7 days </t>
    </r>
    <r>
      <rPr>
        <sz val="11"/>
        <color theme="5" tint="-0.249977111117893"/>
        <rFont val="Calibri"/>
        <family val="2"/>
        <scheme val="minor"/>
      </rPr>
      <t>ago</t>
    </r>
  </si>
  <si>
    <t>refactor hideous process call loop.</t>
  </si>
  <si>
    <t>refactor hideous chart worksheet functions.</t>
  </si>
  <si>
    <t>Don't Send Email</t>
  </si>
  <si>
    <t>Instructions for report setup are below all the report settings. Do read these!</t>
  </si>
  <si>
    <t>Report11 - PP Last 30 Days</t>
  </si>
  <si>
    <t>Report3 - SEND Last 30 Days</t>
  </si>
  <si>
    <t>Report4 Time of Day, last week</t>
  </si>
  <si>
    <t>Report6-Top 20 students</t>
  </si>
  <si>
    <t>Report12 - SEND Last 30 Days</t>
  </si>
  <si>
    <t>Report16 - Start of Year</t>
  </si>
  <si>
    <t>Report17 - Last Month (30 days)</t>
  </si>
  <si>
    <t>Behaviour Report</t>
  </si>
  <si>
    <t>Achievement Report</t>
  </si>
  <si>
    <t>Automation - Achievement (DateFromTo)</t>
  </si>
  <si>
    <t>ACHIEVEMENT REPORTS</t>
  </si>
  <si>
    <t>Guidance on email for: drilldowning, enable content, image, toggling back to dashboard.</t>
  </si>
  <si>
    <t>replace 'Sheets("Set up").Range("K8") = 1' with a SETUP_MODE/OPERATING_MODE flag.</t>
  </si>
  <si>
    <t>&lt;Start&gt;2016-12-12&lt;/Start&gt;&lt;End&gt;2016-12-19&lt;/End&gt;</t>
  </si>
  <si>
    <r>
      <t xml:space="preserve">Report18 - Last Week </t>
    </r>
    <r>
      <rPr>
        <b/>
        <sz val="11"/>
        <color rgb="FFFF0000"/>
        <rFont val="Calibri"/>
        <family val="2"/>
        <scheme val="minor"/>
      </rPr>
      <t>[Currently Month]</t>
    </r>
  </si>
  <si>
    <t>Report10 - Location (last 30 days)</t>
  </si>
  <si>
    <t>Report13 Time of Day (last 30 days)</t>
  </si>
  <si>
    <t>Report14-Top 20 students (last 30 days)</t>
  </si>
  <si>
    <t>Report15-Staff (last 30 days)</t>
  </si>
  <si>
    <t>&lt;Parameter id='zbE3+SquTbiVKVwTwvK9QA==' subreportfilter='True'&gt;</t>
  </si>
  <si>
    <t>"C:\Program Files\SIMS\SIMS .net\CommandReporter.exe" /USER:f.admin /PASSWORD:peinture /SERVERNAME: /DATABASENAME: /REPORT:"Automation - Achievement (DateFromTo)" /OUTPUT:"T:\General\Examinations\Daily Procedures 2016\SIMS Management and Setup\Tools\Behaviour dashboard (Source SIMS)\Barlow attempt 1\Report18.csv" /PARAMS:"&lt;ReportParameters&gt;&lt;Parameter id='zbE3+SquTbiVKVwTwvK9QA==' subreportfilter='True'&gt;&lt;Values&gt;&lt;Start&gt;2016-11-19&lt;/Start&gt;&lt;End&gt;2016-12-19&lt;/End&gt;&lt;/Values&gt;&lt;/Parameter&gt;&lt;/ReportParameters&gt;"</t>
  </si>
  <si>
    <t>Meta</t>
  </si>
  <si>
    <t>Pull TODOs into new sheet (Parent: Criticals first then…).</t>
  </si>
  <si>
    <t>Classes.</t>
  </si>
  <si>
    <t>Report</t>
  </si>
  <si>
    <t>ReportManager (collection class, see internet for defining). CRUD.</t>
  </si>
  <si>
    <t>Check rubberduck video on testing classes in VBA</t>
  </si>
  <si>
    <t>Move config to the manager</t>
  </si>
  <si>
    <t>DistributionInterface?</t>
  </si>
  <si>
    <t>If outlook intergration working and not debug/etc., mail. Else route to action queue for next time OR debug list (word?).</t>
  </si>
  <si>
    <t>Tests</t>
  </si>
  <si>
    <t>System:</t>
  </si>
  <si>
    <t>New collectionmanager. New rpeort. Add report. Check length = 1.</t>
  </si>
  <si>
    <t>Add a report to new collection manager.</t>
  </si>
  <si>
    <t>Unit</t>
  </si>
  <si>
    <t>CommandLineHandler (on exception do XX);</t>
  </si>
  <si>
    <t>SystemManager</t>
  </si>
  <si>
    <t>So we can call the dashboard files separately in turn.</t>
  </si>
  <si>
    <t>State of report:</t>
  </si>
  <si>
    <t>SIMS Report Name</t>
  </si>
  <si>
    <t>Our Name</t>
  </si>
  <si>
    <t>Parameter Tag</t>
  </si>
  <si>
    <t>Parameter Values</t>
  </si>
  <si>
    <t>Last Success</t>
  </si>
  <si>
    <t>Last Time Taken</t>
  </si>
  <si>
    <t>Average Time Taken</t>
  </si>
  <si>
    <t>Last Fail</t>
  </si>
  <si>
    <t>Success?</t>
  </si>
  <si>
    <t>ErrorVal</t>
  </si>
  <si>
    <t>Replace with Monthly, Weekly etc.</t>
  </si>
  <si>
    <t>ID</t>
  </si>
  <si>
    <t>DateStamp</t>
  </si>
  <si>
    <t>Intended Outcome</t>
  </si>
  <si>
    <t>Log Value</t>
  </si>
  <si>
    <t>Export Rubberduck (find details using object explorer) TODO, and error log.</t>
  </si>
  <si>
    <t>LastDate ThisWBClosedand Saved</t>
  </si>
  <si>
    <t>Actual Outcome</t>
  </si>
  <si>
    <t>Test: System Log Test</t>
  </si>
  <si>
    <t>---</t>
  </si>
  <si>
    <t>ExportModules</t>
  </si>
  <si>
    <t>-</t>
  </si>
  <si>
    <t>12 files exported to C:\_Dropbox\Dropbox\Git\SIMS Automation Project\SIMS-Automation-Project\Master Automation Tool\_src .</t>
  </si>
  <si>
    <t>CheckWhetherToImportSRCModules</t>
  </si>
  <si>
    <t>False, no import made.</t>
  </si>
  <si>
    <t>IMPORT: Code modules updated.</t>
  </si>
  <si>
    <t>Import required</t>
  </si>
  <si>
    <t>True, importing</t>
  </si>
  <si>
    <t>True, import ended</t>
  </si>
  <si>
    <t>Event: Open.</t>
  </si>
  <si>
    <t>Start</t>
  </si>
  <si>
    <t>ImportModulesIfMoreRecent</t>
  </si>
  <si>
    <t>Event: BeforeSave.</t>
  </si>
  <si>
    <t>ExportAndUpdateTimestamp</t>
  </si>
  <si>
    <t>End</t>
  </si>
  <si>
    <t>Event: BeforeClose.</t>
  </si>
  <si>
    <t>*Event: BeforeClose.</t>
  </si>
  <si>
    <t>*Event: Open.</t>
  </si>
  <si>
    <t>Datestamp</t>
  </si>
  <si>
    <t>13 files exported to C:\_Dropbox\Dropbox\Git\SIMS Automation Project\SIMS-Automation-Project\Master Automation Tool\_src .</t>
  </si>
  <si>
    <t>False, do not import.</t>
  </si>
  <si>
    <t>IMPORTED.</t>
  </si>
  <si>
    <t>DID NOT IMPORT.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</si>
</sst>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yyyy\-mm\-dd;@"/>
    <numFmt numFmtId="165" formatCode="yyyy\-mm\-dd:hhmm"/>
  </numFmts>
  <fonts count="30" x14ac:knownFonts="1">
    <font>
      <sz val="11"/>
      <color theme="1"/>
      <name val="Calibri"/>
      <family val="2"/>
      <scheme val="minor"/>
    </font>
    <font>
      <b/>
      <sz val="11"/>
      <color theme="1"/>
      <name val="Calibri"/>
      <family val="2"/>
      <scheme val="minor"/>
    </font>
    <font>
      <sz val="8"/>
      <color rgb="FF000000"/>
      <name val="Tahoma"/>
      <family val="2"/>
    </font>
    <font>
      <sz val="9"/>
      <color indexed="81"/>
      <name val="Tahoma"/>
      <family val="2"/>
    </font>
    <font>
      <b/>
      <sz val="11"/>
      <color theme="0" tint="-0.499984740745262"/>
      <name val="Calibri"/>
      <family val="2"/>
      <scheme val="minor"/>
    </font>
    <font>
      <b/>
      <sz val="11"/>
      <name val="Calibri"/>
      <family val="2"/>
      <scheme val="minor"/>
    </font>
    <font>
      <u/>
      <sz val="11"/>
      <color theme="10"/>
      <name val="Calibri"/>
      <family val="2"/>
      <scheme val="minor"/>
    </font>
    <font>
      <sz val="11"/>
      <name val="Calibri"/>
      <family val="2"/>
      <scheme val="minor"/>
    </font>
    <font>
      <b/>
      <sz val="10"/>
      <color rgb="FF005F89"/>
      <name val="Arial"/>
      <family val="2"/>
    </font>
    <font>
      <sz val="11"/>
      <color rgb="FF7F7F7F"/>
      <name val="Calibri"/>
      <family val="2"/>
      <scheme val="minor"/>
    </font>
    <font>
      <b/>
      <sz val="10"/>
      <color rgb="FF7F7F7F"/>
      <name val="Arial"/>
      <family val="2"/>
    </font>
    <font>
      <sz val="10"/>
      <color rgb="FF7F7F7F"/>
      <name val="Arial"/>
      <family val="2"/>
    </font>
    <font>
      <b/>
      <sz val="10"/>
      <color rgb="FF747678"/>
      <name val="Arial"/>
      <family val="2"/>
    </font>
    <font>
      <sz val="10"/>
      <color rgb="FF333333"/>
      <name val="Arial"/>
      <family val="2"/>
    </font>
    <font>
      <sz val="10"/>
      <color rgb="FF747678"/>
      <name val="Arial"/>
      <family val="2"/>
    </font>
    <font>
      <sz val="10"/>
      <color theme="1"/>
      <name val="Arial"/>
      <family val="2"/>
    </font>
    <font>
      <b/>
      <u/>
      <sz val="11"/>
      <color theme="1"/>
      <name val="Calibri"/>
      <family val="2"/>
      <scheme val="minor"/>
    </font>
    <font>
      <b/>
      <sz val="11"/>
      <color rgb="FF00B050"/>
      <name val="Calibri"/>
      <family val="2"/>
      <scheme val="minor"/>
    </font>
    <font>
      <sz val="11"/>
      <color theme="5" tint="-0.249977111117893"/>
      <name val="Calibri"/>
      <family val="2"/>
      <scheme val="minor"/>
    </font>
    <font>
      <sz val="11"/>
      <color theme="3" tint="0.39997558519241921"/>
      <name val="Calibri"/>
      <family val="2"/>
      <scheme val="minor"/>
    </font>
    <font>
      <sz val="11"/>
      <color rgb="FFFF0000"/>
      <name val="Calibri"/>
      <family val="2"/>
      <scheme val="minor"/>
    </font>
    <font>
      <b/>
      <sz val="10"/>
      <color theme="1"/>
      <name val="Verdana"/>
      <family val="2"/>
    </font>
    <font>
      <b/>
      <sz val="11"/>
      <color rgb="FFFF0000"/>
      <name val="Calibri"/>
      <family val="2"/>
      <scheme val="minor"/>
    </font>
    <font>
      <sz val="8"/>
      <color theme="1"/>
      <name val="Calibri"/>
      <family val="2"/>
      <scheme val="minor"/>
    </font>
    <font>
      <b/>
      <sz val="11"/>
      <color theme="0" tint="-4.9989318521683403E-2"/>
      <name val="Calibri"/>
      <family val="2"/>
      <scheme val="minor"/>
    </font>
    <font>
      <b/>
      <sz val="8"/>
      <color theme="0" tint="-4.9989318521683403E-2"/>
      <name val="Calibri"/>
      <family val="2"/>
      <scheme val="minor"/>
    </font>
    <font>
      <b/>
      <sz val="14"/>
      <color theme="1"/>
      <name val="Calibri"/>
      <family val="2"/>
      <scheme val="minor"/>
    </font>
    <font>
      <sz val="11"/>
      <color rgb="FF000000"/>
      <name val="Calibri"/>
      <family val="2"/>
    </font>
    <font>
      <sz val="8"/>
      <color rgb="FFFF0000"/>
      <name val="Calibri"/>
      <family val="2"/>
      <scheme val="minor"/>
    </font>
    <font>
      <b/>
      <sz val="9"/>
      <color theme="0" tint="-4.9989318521683403E-2"/>
      <name val="Calibri"/>
      <family val="2"/>
      <scheme val="minor"/>
    </font>
  </fonts>
  <fills count="9">
    <fill>
      <patternFill patternType="none"/>
    </fill>
    <fill>
      <patternFill patternType="gray125"/>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theme="0" tint="-0.34998626667073579"/>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77111117893"/>
        <bgColor indexed="64"/>
      </patternFill>
    </fill>
  </fills>
  <borders count="12">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thin">
        <color indexed="64"/>
      </bottom>
      <diagonal/>
    </border>
    <border>
      <left/>
      <right style="thin">
        <color indexed="64"/>
      </right>
      <top/>
      <bottom/>
      <diagonal/>
    </border>
  </borders>
  <cellStyleXfs count="2">
    <xf numFmtId="0" fontId="0" fillId="0" borderId="0"/>
    <xf numFmtId="0" fontId="6" fillId="0" borderId="0" applyNumberFormat="0" applyFill="0" applyBorder="0" applyAlignment="0" applyProtection="0"/>
  </cellStyleXfs>
  <cellXfs count="75">
    <xf numFmtId="0" fontId="0" fillId="0" borderId="0" xfId="0"/>
    <xf numFmtId="0" fontId="1" fillId="0" borderId="0" xfId="0" applyFont="1"/>
    <xf numFmtId="0" fontId="0" fillId="2" borderId="3" xfId="0" applyFill="1" applyBorder="1"/>
    <xf numFmtId="0" fontId="4" fillId="0" borderId="0" xfId="0" applyFont="1"/>
    <xf numFmtId="0" fontId="1" fillId="0" borderId="0" xfId="0" applyFont="1" applyFill="1"/>
    <xf numFmtId="0" fontId="0" fillId="0" borderId="0" xfId="0" applyFill="1"/>
    <xf numFmtId="0" fontId="0" fillId="2" borderId="4" xfId="0" applyFill="1" applyBorder="1" applyAlignment="1">
      <alignment horizontal="center"/>
    </xf>
    <xf numFmtId="164" fontId="0" fillId="0" borderId="0" xfId="0" applyNumberFormat="1"/>
    <xf numFmtId="0" fontId="0" fillId="2" borderId="5" xfId="0" applyFill="1" applyBorder="1" applyAlignment="1">
      <alignment horizontal="center" vertical="top" wrapText="1"/>
    </xf>
    <xf numFmtId="0" fontId="0" fillId="0" borderId="0" xfId="0" applyBorder="1" applyAlignment="1">
      <alignment horizontal="center"/>
    </xf>
    <xf numFmtId="0" fontId="6" fillId="2" borderId="3" xfId="1" applyFill="1" applyBorder="1"/>
    <xf numFmtId="0" fontId="5" fillId="0" borderId="0" xfId="0" applyFont="1"/>
    <xf numFmtId="0" fontId="7" fillId="2" borderId="0" xfId="0" applyFont="1" applyFill="1" applyBorder="1" applyAlignment="1">
      <alignment horizontal="left"/>
    </xf>
    <xf numFmtId="0" fontId="0" fillId="0" borderId="0" xfId="0" applyAlignment="1">
      <alignment horizontal="right"/>
    </xf>
    <xf numFmtId="0" fontId="0" fillId="2" borderId="4" xfId="0" applyFill="1" applyBorder="1"/>
    <xf numFmtId="0" fontId="0" fillId="2" borderId="5" xfId="0" applyFill="1" applyBorder="1"/>
    <xf numFmtId="164" fontId="0" fillId="2" borderId="5" xfId="0" applyNumberFormat="1" applyFill="1" applyBorder="1"/>
    <xf numFmtId="0" fontId="0" fillId="2" borderId="6" xfId="0" applyFill="1" applyBorder="1"/>
    <xf numFmtId="0" fontId="0" fillId="0" borderId="0" xfId="0" applyAlignment="1">
      <alignment wrapText="1"/>
    </xf>
    <xf numFmtId="0" fontId="0" fillId="0" borderId="0" xfId="0" quotePrefix="1" applyAlignment="1">
      <alignment wrapText="1"/>
    </xf>
    <xf numFmtId="0" fontId="7" fillId="0" borderId="0" xfId="0" applyFont="1" applyFill="1" applyAlignment="1">
      <alignment wrapText="1"/>
    </xf>
    <xf numFmtId="0" fontId="0" fillId="0" borderId="0" xfId="0" applyAlignment="1">
      <alignment vertical="top"/>
    </xf>
    <xf numFmtId="0" fontId="0" fillId="0" borderId="0" xfId="0" applyFont="1" applyFill="1" applyAlignment="1">
      <alignment vertical="top"/>
    </xf>
    <xf numFmtId="0" fontId="7" fillId="2" borderId="3" xfId="0" applyFont="1" applyFill="1" applyBorder="1"/>
    <xf numFmtId="0" fontId="0" fillId="0" borderId="0" xfId="0" applyAlignment="1">
      <alignment vertical="center" wrapText="1"/>
    </xf>
    <xf numFmtId="0" fontId="8" fillId="0" borderId="0" xfId="0" applyFont="1" applyAlignment="1">
      <alignment vertical="center" wrapText="1"/>
    </xf>
    <xf numFmtId="0" fontId="9" fillId="0" borderId="0" xfId="0" applyFont="1" applyAlignment="1">
      <alignment vertical="center" wrapText="1"/>
    </xf>
    <xf numFmtId="0" fontId="10" fillId="0" borderId="0" xfId="0" applyFont="1" applyAlignment="1">
      <alignment vertical="center" wrapText="1"/>
    </xf>
    <xf numFmtId="0" fontId="12" fillId="0" borderId="0" xfId="0" applyFont="1" applyAlignment="1">
      <alignment vertical="center" wrapText="1"/>
    </xf>
    <xf numFmtId="0" fontId="6" fillId="0" borderId="0" xfId="1" applyAlignment="1">
      <alignment vertical="center" wrapText="1"/>
    </xf>
    <xf numFmtId="0" fontId="13" fillId="0" borderId="0" xfId="0" applyFont="1" applyAlignment="1">
      <alignment vertical="center" wrapText="1"/>
    </xf>
    <xf numFmtId="0" fontId="8" fillId="0" borderId="7" xfId="0" applyFont="1" applyBorder="1" applyAlignment="1">
      <alignment vertical="center" wrapText="1"/>
    </xf>
    <xf numFmtId="0" fontId="9" fillId="0" borderId="8" xfId="0" applyFont="1" applyBorder="1" applyAlignment="1">
      <alignment vertical="center" wrapText="1"/>
    </xf>
    <xf numFmtId="0" fontId="10" fillId="0" borderId="8" xfId="0" applyFont="1" applyBorder="1" applyAlignment="1">
      <alignment vertical="center" wrapText="1"/>
    </xf>
    <xf numFmtId="0" fontId="6" fillId="0" borderId="8" xfId="1" applyBorder="1" applyAlignment="1">
      <alignment vertical="center" wrapText="1"/>
    </xf>
    <xf numFmtId="0" fontId="8" fillId="0" borderId="8" xfId="0" applyFont="1" applyBorder="1" applyAlignment="1">
      <alignment vertical="center" wrapText="1"/>
    </xf>
    <xf numFmtId="0" fontId="12" fillId="0" borderId="8" xfId="0" applyFont="1" applyBorder="1" applyAlignment="1">
      <alignment vertical="center" wrapText="1"/>
    </xf>
    <xf numFmtId="0" fontId="6" fillId="0" borderId="9" xfId="1" applyBorder="1" applyAlignment="1">
      <alignment vertical="center" wrapText="1"/>
    </xf>
    <xf numFmtId="0" fontId="1" fillId="0" borderId="0" xfId="0" applyFont="1" applyAlignment="1">
      <alignment horizontal="right"/>
    </xf>
    <xf numFmtId="164" fontId="1" fillId="2" borderId="5" xfId="0" applyNumberFormat="1" applyFont="1" applyFill="1" applyBorder="1"/>
    <xf numFmtId="0" fontId="16" fillId="0" borderId="0" xfId="0" applyFont="1"/>
    <xf numFmtId="0" fontId="0" fillId="3" borderId="0" xfId="0" applyFill="1"/>
    <xf numFmtId="0" fontId="0" fillId="4" borderId="0" xfId="0" applyFill="1"/>
    <xf numFmtId="0" fontId="0" fillId="2" borderId="0" xfId="0" applyFill="1"/>
    <xf numFmtId="0" fontId="0" fillId="5" borderId="0" xfId="0" applyFill="1"/>
    <xf numFmtId="0" fontId="0" fillId="3" borderId="5" xfId="0" applyFill="1" applyBorder="1"/>
    <xf numFmtId="0" fontId="0" fillId="6" borderId="0" xfId="0" applyFill="1"/>
    <xf numFmtId="0" fontId="17" fillId="0" borderId="3" xfId="0" applyFont="1" applyBorder="1" applyAlignment="1">
      <alignment horizontal="center"/>
    </xf>
    <xf numFmtId="0" fontId="0" fillId="7" borderId="1" xfId="0" applyFill="1" applyBorder="1"/>
    <xf numFmtId="0" fontId="0" fillId="7" borderId="2" xfId="0" applyNumberFormat="1" applyFill="1" applyBorder="1"/>
    <xf numFmtId="0" fontId="0" fillId="7" borderId="3" xfId="0" applyFill="1" applyBorder="1" applyAlignment="1">
      <alignment horizontal="right"/>
    </xf>
    <xf numFmtId="164" fontId="0" fillId="2" borderId="10" xfId="0" applyNumberFormat="1" applyFill="1" applyBorder="1"/>
    <xf numFmtId="0" fontId="0" fillId="0" borderId="0" xfId="0" applyFill="1" applyBorder="1" applyAlignment="1">
      <alignment horizontal="right"/>
    </xf>
    <xf numFmtId="0" fontId="20" fillId="0" borderId="0" xfId="0" applyFont="1"/>
    <xf numFmtId="0" fontId="17" fillId="0" borderId="3" xfId="0" applyFont="1" applyBorder="1" applyAlignment="1">
      <alignment horizontal="center" wrapText="1"/>
    </xf>
    <xf numFmtId="0" fontId="22" fillId="0" borderId="3" xfId="0" applyFont="1" applyBorder="1" applyAlignment="1">
      <alignment horizontal="center"/>
    </xf>
    <xf numFmtId="0" fontId="21" fillId="0" borderId="0" xfId="0" applyFont="1"/>
    <xf numFmtId="0" fontId="23" fillId="2" borderId="5" xfId="0" applyFont="1" applyFill="1" applyBorder="1" applyAlignment="1">
      <alignment horizontal="center" vertical="top" wrapText="1"/>
    </xf>
    <xf numFmtId="0" fontId="23" fillId="0" borderId="0" xfId="0" applyFont="1"/>
    <xf numFmtId="0" fontId="0" fillId="0" borderId="0" xfId="0" applyAlignment="1">
      <alignment horizontal="center" vertical="center"/>
    </xf>
    <xf numFmtId="0" fontId="24" fillId="8" borderId="0" xfId="0" applyFont="1" applyFill="1" applyAlignment="1">
      <alignment horizontal="center" vertical="center" wrapText="1"/>
    </xf>
    <xf numFmtId="0" fontId="25" fillId="8" borderId="0" xfId="0" applyFont="1" applyFill="1" applyAlignment="1">
      <alignment horizontal="center" vertical="center" wrapText="1"/>
    </xf>
    <xf numFmtId="0" fontId="17" fillId="0" borderId="10" xfId="0" applyFont="1" applyBorder="1" applyAlignment="1">
      <alignment horizontal="center" wrapText="1"/>
    </xf>
    <xf numFmtId="0" fontId="0" fillId="2" borderId="5" xfId="0" applyFill="1" applyBorder="1" applyAlignment="1">
      <alignment horizontal="center" wrapText="1"/>
    </xf>
    <xf numFmtId="0" fontId="23" fillId="2" borderId="11" xfId="0" applyFont="1" applyFill="1" applyBorder="1" applyAlignment="1">
      <alignment wrapText="1"/>
    </xf>
    <xf numFmtId="0" fontId="26" fillId="7" borderId="3" xfId="0" applyFont="1" applyFill="1" applyBorder="1" applyAlignment="1">
      <alignment horizontal="center" vertical="center"/>
    </xf>
    <xf numFmtId="22" fontId="0" fillId="0" borderId="0" xfId="0" applyNumberFormat="1"/>
    <xf numFmtId="165" fontId="0" fillId="0" borderId="0" xfId="0" applyNumberFormat="1"/>
    <xf numFmtId="0" fontId="28" fillId="0" borderId="0" xfId="0" applyFont="1"/>
    <xf numFmtId="0" fontId="29" fillId="8" borderId="0" xfId="0" applyFont="1" applyFill="1" applyAlignment="1">
      <alignment horizontal="center" vertical="center" wrapText="1"/>
    </xf>
    <xf numFmtId="0" fontId="5" fillId="0" borderId="0" xfId="0" applyFont="1" applyBorder="1" applyAlignment="1">
      <alignment horizontal="center"/>
    </xf>
    <xf numFmtId="0" fontId="1" fillId="0" borderId="0" xfId="0" applyFont="1" applyAlignment="1">
      <alignment horizontal="left"/>
    </xf>
    <xf numFmtId="0" fontId="13" fillId="0" borderId="0" xfId="0" applyFont="1" applyAlignment="1">
      <alignment vertical="center" wrapText="1"/>
    </xf>
    <xf numFmtId="0" fontId="15" fillId="0" borderId="0" xfId="0" applyFont="1" applyAlignment="1">
      <alignment vertical="center" wrapText="1"/>
    </xf>
    <xf numFmtId="0" fontId="6" fillId="0" borderId="0" xfId="1" applyAlignment="1">
      <alignment vertical="center" wrapText="1"/>
    </xf>
  </cellXfs>
  <cellStyles count="2">
    <cellStyle name="Hyperlink" xfId="1" builtinId="8"/>
    <cellStyle name="Normal" xfId="0" builtinId="0"/>
  </cellStyles>
  <dxfs count="2">
    <dxf>
      <fill>
        <patternFill>
          <bgColor rgb="FF00B0F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solidFill>
                  <a:srgbClr val="00B050"/>
                </a:solidFill>
              </a:defRPr>
            </a:pPr>
            <a:r>
              <a:rPr lang="en-US">
                <a:solidFill>
                  <a:srgbClr val="00B050"/>
                </a:solidFill>
              </a:rPr>
              <a:t>Incidents by Subject</a:t>
            </a:r>
            <a:r>
              <a:rPr lang="en-US" baseline="0">
                <a:solidFill>
                  <a:srgbClr val="00B050"/>
                </a:solidFill>
              </a:rPr>
              <a:t> this week (last 7 days)</a:t>
            </a:r>
            <a:endParaRPr lang="en-US">
              <a:solidFill>
                <a:srgbClr val="00B050"/>
              </a:solidFill>
            </a:endParaRPr>
          </a:p>
        </c:rich>
      </c:tx>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spPr>
          <a:solidFill>
            <a:srgbClr val="00B050"/>
          </a:solidFill>
        </c:spPr>
        <c:marker>
          <c:symbol val="none"/>
        </c:marker>
      </c:pivotFmt>
      <c:pivotFmt>
        <c:idx val="64"/>
        <c:spPr>
          <a:solidFill>
            <a:srgbClr val="00B050"/>
          </a:solidFill>
        </c:spPr>
        <c:marker>
          <c:symbol val="none"/>
        </c:marker>
      </c:pivotFmt>
      <c:pivotFmt>
        <c:idx val="65"/>
        <c:spPr>
          <a:solidFill>
            <a:srgbClr val="00B050"/>
          </a:solidFill>
        </c:spPr>
        <c:marker>
          <c:symbol val="none"/>
        </c:marker>
      </c:pivotFmt>
      <c:pivotFmt>
        <c:idx val="66"/>
        <c:spPr>
          <a:solidFill>
            <a:srgbClr val="00B050"/>
          </a:solidFill>
        </c:spPr>
        <c:marker>
          <c:symbol val="none"/>
        </c:marker>
      </c:pivotFmt>
      <c:pivotFmt>
        <c:idx val="67"/>
        <c:spPr>
          <a:solidFill>
            <a:srgbClr val="00B050"/>
          </a:solidFill>
        </c:spPr>
        <c:marker>
          <c:symbol val="none"/>
        </c:marker>
      </c:pivotFmt>
    </c:pivotFmts>
    <c:plotArea>
      <c:layout/>
      <c:barChart>
        <c:barDir val="col"/>
        <c:grouping val="clustered"/>
        <c:varyColors val="0"/>
        <c:ser>
          <c:idx val="0"/>
          <c:order val="0"/>
          <c:tx>
            <c:v>Series1</c:v>
          </c:tx>
          <c:spPr>
            <a:solidFill>
              <a:srgbClr val="00B050"/>
            </a:solidFill>
          </c:spPr>
          <c:invertIfNegative val="0"/>
          <c:cat>
            <c:strLit>
              <c:ptCount val="12"/>
              <c:pt idx="0">
                <c:v>Art</c:v>
              </c:pt>
              <c:pt idx="1">
                <c:v>Design Technology</c:v>
              </c:pt>
              <c:pt idx="2">
                <c:v>English</c:v>
              </c:pt>
              <c:pt idx="3">
                <c:v>Family Time</c:v>
              </c:pt>
              <c:pt idx="4">
                <c:v>ICT</c:v>
              </c:pt>
              <c:pt idx="5">
                <c:v>Learning Support</c:v>
              </c:pt>
              <c:pt idx="6">
                <c:v>Mathematics</c:v>
              </c:pt>
              <c:pt idx="7">
                <c:v>Music</c:v>
              </c:pt>
              <c:pt idx="8">
                <c:v>On School Site</c:v>
              </c:pt>
              <c:pt idx="9">
                <c:v>Physical Education</c:v>
              </c:pt>
              <c:pt idx="10">
                <c:v>Religious Education</c:v>
              </c:pt>
              <c:pt idx="11">
                <c:v>Science</c:v>
              </c:pt>
            </c:strLit>
          </c:cat>
          <c:val>
            <c:numLit>
              <c:formatCode>General</c:formatCode>
              <c:ptCount val="12"/>
              <c:pt idx="0">
                <c:v>9</c:v>
              </c:pt>
              <c:pt idx="1">
                <c:v>21</c:v>
              </c:pt>
              <c:pt idx="2">
                <c:v>9</c:v>
              </c:pt>
              <c:pt idx="3">
                <c:v>9</c:v>
              </c:pt>
              <c:pt idx="4">
                <c:v>3</c:v>
              </c:pt>
              <c:pt idx="5">
                <c:v>2</c:v>
              </c:pt>
              <c:pt idx="6">
                <c:v>21</c:v>
              </c:pt>
              <c:pt idx="7">
                <c:v>4</c:v>
              </c:pt>
              <c:pt idx="8">
                <c:v>7</c:v>
              </c:pt>
              <c:pt idx="9">
                <c:v>11</c:v>
              </c:pt>
              <c:pt idx="10">
                <c:v>7</c:v>
              </c:pt>
              <c:pt idx="11">
                <c:v>18</c:v>
              </c:pt>
            </c:numLit>
          </c:val>
          <c:extLst>
            <c:ext xmlns:c16="http://schemas.microsoft.com/office/drawing/2014/chart" uri="{C3380CC4-5D6E-409C-BE32-E72D297353CC}">
              <c16:uniqueId val="{00000000-5A0A-4D00-B281-9EA00F6880C9}"/>
            </c:ext>
          </c:extLst>
        </c:ser>
        <c:dLbls>
          <c:showLegendKey val="0"/>
          <c:showVal val="0"/>
          <c:showCatName val="0"/>
          <c:showSerName val="0"/>
          <c:showPercent val="0"/>
          <c:showBubbleSize val="0"/>
        </c:dLbls>
        <c:gapWidth val="45"/>
        <c:axId val="177829760"/>
        <c:axId val="177831296"/>
      </c:barChart>
      <c:catAx>
        <c:axId val="177829760"/>
        <c:scaling>
          <c:orientation val="minMax"/>
        </c:scaling>
        <c:delete val="0"/>
        <c:axPos val="b"/>
        <c:numFmt formatCode="General" sourceLinked="0"/>
        <c:majorTickMark val="out"/>
        <c:minorTickMark val="none"/>
        <c:tickLblPos val="nextTo"/>
        <c:txPr>
          <a:bodyPr rot="5400000" vert="horz"/>
          <a:lstStyle/>
          <a:p>
            <a:pPr>
              <a:defRPr sz="1600" b="1"/>
            </a:pPr>
            <a:endParaRPr lang="en-US"/>
          </a:p>
        </c:txPr>
        <c:crossAx val="177831296"/>
        <c:crosses val="autoZero"/>
        <c:auto val="1"/>
        <c:lblAlgn val="ctr"/>
        <c:lblOffset val="100"/>
        <c:tickLblSkip val="1"/>
        <c:noMultiLvlLbl val="0"/>
      </c:catAx>
      <c:valAx>
        <c:axId val="177831296"/>
        <c:scaling>
          <c:orientation val="minMax"/>
        </c:scaling>
        <c:delete val="0"/>
        <c:axPos val="l"/>
        <c:majorGridlines>
          <c:spPr>
            <a:ln>
              <a:solidFill>
                <a:schemeClr val="bg1">
                  <a:lumMod val="95000"/>
                </a:schemeClr>
              </a:solidFill>
            </a:ln>
          </c:spPr>
        </c:majorGridlines>
        <c:numFmt formatCode="General" sourceLinked="1"/>
        <c:majorTickMark val="out"/>
        <c:minorTickMark val="none"/>
        <c:tickLblPos val="nextTo"/>
        <c:crossAx val="177829760"/>
        <c:crosses val="autoZero"/>
        <c:crossBetween val="between"/>
      </c:valAx>
    </c:plotArea>
    <c:plotVisOnly val="1"/>
    <c:dispBlanksAs val="gap"/>
    <c:showDLblsOverMax val="0"/>
  </c:chart>
  <c:spPr>
    <a:solidFill>
      <a:schemeClr val="bg1">
        <a:lumMod val="85000"/>
      </a:schemeClr>
    </a:solidFill>
    <a:ln w="3175">
      <a:solidFill>
        <a:srgbClr val="FEFFFF"/>
      </a:solidFill>
      <a:prstDash val="solid"/>
    </a:ln>
    <a:effectLst>
      <a:outerShdw blurRad="107950" dist="12700" dir="5400000">
        <a:srgbClr val="000000"/>
      </a:outerShdw>
    </a:effectLst>
    <a:ex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Radio" firstButton="1" fmlaLink="$K$8"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295275</xdr:colOff>
          <xdr:row>1</xdr:row>
          <xdr:rowOff>152400</xdr:rowOff>
        </xdr:from>
        <xdr:to>
          <xdr:col>9</xdr:col>
          <xdr:colOff>1323975</xdr:colOff>
          <xdr:row>2</xdr:row>
          <xdr:rowOff>180975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Unhide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4</xdr:row>
          <xdr:rowOff>19050</xdr:rowOff>
        </xdr:from>
        <xdr:to>
          <xdr:col>9</xdr:col>
          <xdr:colOff>1323975</xdr:colOff>
          <xdr:row>5</xdr:row>
          <xdr:rowOff>66675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Restore toolbars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9</xdr:row>
          <xdr:rowOff>180975</xdr:rowOff>
        </xdr:from>
        <xdr:to>
          <xdr:col>9</xdr:col>
          <xdr:colOff>1009650</xdr:colOff>
          <xdr:row>10</xdr:row>
          <xdr:rowOff>171450</xdr:rowOff>
        </xdr:to>
        <xdr:sp macro="" textlink="">
          <xdr:nvSpPr>
            <xdr:cNvPr id="2051" name="Option 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Operating mode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8</xdr:row>
          <xdr:rowOff>142875</xdr:rowOff>
        </xdr:from>
        <xdr:to>
          <xdr:col>9</xdr:col>
          <xdr:colOff>1009650</xdr:colOff>
          <xdr:row>9</xdr:row>
          <xdr:rowOff>152400</xdr:rowOff>
        </xdr:to>
        <xdr:sp macro="" textlink="">
          <xdr:nvSpPr>
            <xdr:cNvPr id="2052" name="Option 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Set-up mode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276225</xdr:colOff>
          <xdr:row>5</xdr:row>
          <xdr:rowOff>161925</xdr:rowOff>
        </xdr:from>
        <xdr:to>
          <xdr:col>9</xdr:col>
          <xdr:colOff>1304925</xdr:colOff>
          <xdr:row>7</xdr:row>
          <xdr:rowOff>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Get parameters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276225</xdr:colOff>
          <xdr:row>7</xdr:row>
          <xdr:rowOff>76200</xdr:rowOff>
        </xdr:from>
        <xdr:to>
          <xdr:col>9</xdr:col>
          <xdr:colOff>790575</xdr:colOff>
          <xdr:row>8</xdr:row>
          <xdr:rowOff>114300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full</a:t>
              </a:r>
            </a:p>
          </xdr:txBody>
        </xdr:sp>
        <xdr:clientData fPrintsWithSheet="0"/>
      </xdr:twoCellAnchor>
    </mc:Choice>
    <mc:Fallback/>
  </mc:AlternateContent>
  <xdr:twoCellAnchor>
    <xdr:from>
      <xdr:col>1</xdr:col>
      <xdr:colOff>1260021</xdr:colOff>
      <xdr:row>106</xdr:row>
      <xdr:rowOff>21771</xdr:rowOff>
    </xdr:from>
    <xdr:to>
      <xdr:col>8</xdr:col>
      <xdr:colOff>1062718</xdr:colOff>
      <xdr:row>133</xdr:row>
      <xdr:rowOff>88446</xdr:rowOff>
    </xdr:to>
    <xdr:pic>
      <xdr:nvPicPr>
        <xdr:cNvPr id="8" name="Picture 1" descr="image001">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505450" y="24732342"/>
          <a:ext cx="9858375" cy="52237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9</xdr:col>
          <xdr:colOff>857250</xdr:colOff>
          <xdr:row>7</xdr:row>
          <xdr:rowOff>66675</xdr:rowOff>
        </xdr:from>
        <xdr:to>
          <xdr:col>9</xdr:col>
          <xdr:colOff>1409700</xdr:colOff>
          <xdr:row>8</xdr:row>
          <xdr:rowOff>104775</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part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85725</xdr:colOff>
          <xdr:row>8</xdr:row>
          <xdr:rowOff>114300</xdr:rowOff>
        </xdr:from>
        <xdr:to>
          <xdr:col>10</xdr:col>
          <xdr:colOff>1857375</xdr:colOff>
          <xdr:row>11</xdr:row>
          <xdr:rowOff>142875</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test - single report CLI only</a:t>
              </a:r>
            </a:p>
          </xdr:txBody>
        </xdr:sp>
        <xdr:clientData fPrintsWithSheet="0"/>
      </xdr:twoCellAnchor>
    </mc:Choice>
    <mc:Fallback/>
  </mc:AlternateContent>
  <xdr:twoCellAnchor editAs="oneCell">
    <xdr:from>
      <xdr:col>11</xdr:col>
      <xdr:colOff>0</xdr:colOff>
      <xdr:row>22</xdr:row>
      <xdr:rowOff>67236</xdr:rowOff>
    </xdr:from>
    <xdr:to>
      <xdr:col>19</xdr:col>
      <xdr:colOff>422314</xdr:colOff>
      <xdr:row>46</xdr:row>
      <xdr:rowOff>85713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a:stretch>
          <a:fillRect/>
        </a:stretch>
      </xdr:blipFill>
      <xdr:spPr>
        <a:xfrm>
          <a:off x="20551588" y="4157383"/>
          <a:ext cx="5666667" cy="4590477"/>
        </a:xfrm>
        <a:prstGeom prst="rect">
          <a:avLst/>
        </a:prstGeom>
      </xdr:spPr>
    </xdr:pic>
    <xdr:clientData/>
  </xdr:twoCellAnchor>
  <xdr:twoCellAnchor>
    <xdr:from>
      <xdr:col>4</xdr:col>
      <xdr:colOff>0</xdr:colOff>
      <xdr:row>51</xdr:row>
      <xdr:rowOff>0</xdr:rowOff>
    </xdr:from>
    <xdr:to>
      <xdr:col>13</xdr:col>
      <xdr:colOff>394380</xdr:colOff>
      <xdr:row>63</xdr:row>
      <xdr:rowOff>12700</xdr:rowOff>
    </xdr:to>
    <xdr:graphicFrame macro="">
      <xdr:nvGraphicFramePr>
        <xdr:cNvPr id="12" name="Chart D1">
          <a:extLst>
            <a:ext uri="{FF2B5EF4-FFF2-40B4-BE49-F238E27FC236}">
              <a16:creationId xmlns:a16="http://schemas.microsoft.com/office/drawing/2014/main" id="{00000000-0008-0000-0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www.capita-sims.co.uk/" TargetMode="External"/><Relationship Id="rId1" Type="http://schemas.openxmlformats.org/officeDocument/2006/relationships/hyperlink" Target="mailto:nicholas.faux@capita.co.uk"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T123"/>
  <sheetViews>
    <sheetView topLeftCell="B5" zoomScale="70" zoomScaleNormal="70" workbookViewId="0">
      <selection activeCell="K31" sqref="K31"/>
    </sheetView>
  </sheetViews>
  <sheetFormatPr defaultRowHeight="15" x14ac:dyDescent="0.25"/>
  <cols>
    <col min="1" max="1" width="63.7109375" bestFit="1" customWidth="1"/>
    <col min="2" max="2" width="73.85546875" customWidth="1"/>
    <col min="3" max="3" width="67.7109375" bestFit="1" customWidth="1"/>
    <col min="5" max="5" width="14.85546875" hidden="1" customWidth="1"/>
    <col min="6" max="6" width="10.7109375" hidden="1" customWidth="1"/>
    <col min="7" max="8" width="0" hidden="1" customWidth="1"/>
    <col min="9" max="9" width="19.85546875" customWidth="1"/>
    <col min="10" max="10" width="23.28515625" customWidth="1"/>
    <col min="11" max="11" width="50.7109375" customWidth="1"/>
    <col min="12" max="12" width="12.85546875" bestFit="1" customWidth="1"/>
    <col min="15" max="15" width="11.28515625" bestFit="1" customWidth="1"/>
  </cols>
  <sheetData>
    <row r="1" spans="1:15" x14ac:dyDescent="0.25">
      <c r="A1" s="1" t="s">
        <v>5</v>
      </c>
      <c r="B1" s="2" t="s">
        <v>88</v>
      </c>
      <c r="C1" s="46" t="s">
        <v>106</v>
      </c>
      <c r="D1" s="5" t="s">
        <v>76</v>
      </c>
      <c r="E1" s="1"/>
      <c r="G1" s="5"/>
      <c r="H1" s="5"/>
      <c r="I1" s="5"/>
      <c r="J1" s="5"/>
      <c r="K1" s="5"/>
    </row>
    <row r="2" spans="1:15" x14ac:dyDescent="0.25">
      <c r="A2" s="1" t="s">
        <v>4</v>
      </c>
      <c r="B2" s="2" t="s">
        <v>86</v>
      </c>
      <c r="C2" s="46" t="s">
        <v>106</v>
      </c>
      <c r="F2" s="5"/>
      <c r="G2" s="5"/>
      <c r="H2" s="5"/>
      <c r="I2" s="5"/>
      <c r="J2" s="14"/>
      <c r="K2" s="5"/>
    </row>
    <row r="3" spans="1:15" x14ac:dyDescent="0.25">
      <c r="A3" s="1" t="s">
        <v>0</v>
      </c>
      <c r="B3" s="2" t="s">
        <v>87</v>
      </c>
      <c r="C3" s="43"/>
      <c r="F3" s="5"/>
      <c r="G3" s="5"/>
      <c r="H3" s="5"/>
      <c r="I3" s="5"/>
      <c r="J3" s="15"/>
      <c r="K3" t="s">
        <v>71</v>
      </c>
    </row>
    <row r="4" spans="1:15" ht="14.45" customHeight="1" x14ac:dyDescent="0.25">
      <c r="A4" s="1" t="s">
        <v>43</v>
      </c>
      <c r="B4" s="2"/>
      <c r="C4" s="43"/>
      <c r="E4" s="4"/>
      <c r="F4" s="5"/>
      <c r="G4" s="5"/>
      <c r="H4" s="5"/>
      <c r="I4" s="5"/>
      <c r="J4" s="15"/>
      <c r="K4" s="5" t="s">
        <v>142</v>
      </c>
    </row>
    <row r="5" spans="1:15" x14ac:dyDescent="0.25">
      <c r="A5" s="1" t="s">
        <v>1</v>
      </c>
      <c r="B5" s="2"/>
      <c r="C5" s="43"/>
      <c r="E5" s="5"/>
      <c r="F5" s="5"/>
      <c r="G5" s="5"/>
      <c r="H5" s="5"/>
      <c r="I5" s="5"/>
      <c r="J5" s="15"/>
      <c r="K5" s="5" t="s">
        <v>93</v>
      </c>
    </row>
    <row r="6" spans="1:15" x14ac:dyDescent="0.25">
      <c r="A6" s="1" t="s">
        <v>2</v>
      </c>
      <c r="B6" s="23" t="s">
        <v>105</v>
      </c>
      <c r="C6" s="46" t="s">
        <v>106</v>
      </c>
      <c r="F6" s="5"/>
      <c r="G6" s="5"/>
      <c r="H6" s="5"/>
      <c r="I6" s="5"/>
      <c r="J6" s="15"/>
      <c r="K6" s="5"/>
    </row>
    <row r="7" spans="1:15" x14ac:dyDescent="0.25">
      <c r="A7" s="3" t="s">
        <v>3</v>
      </c>
      <c r="B7" s="23" t="s">
        <v>92</v>
      </c>
      <c r="C7" s="43"/>
      <c r="D7" t="s">
        <v>48</v>
      </c>
      <c r="E7" s="5"/>
      <c r="F7" s="5"/>
      <c r="G7" s="5"/>
      <c r="H7" s="5"/>
      <c r="I7" s="5"/>
      <c r="J7" s="15"/>
      <c r="K7" s="5"/>
    </row>
    <row r="8" spans="1:15" x14ac:dyDescent="0.25">
      <c r="A8" s="11" t="s">
        <v>52</v>
      </c>
      <c r="B8" s="23" t="s">
        <v>108</v>
      </c>
      <c r="C8" s="46" t="s">
        <v>106</v>
      </c>
      <c r="E8" s="5"/>
      <c r="F8" s="5"/>
      <c r="G8" s="5"/>
      <c r="H8" s="5"/>
      <c r="I8" s="5"/>
      <c r="J8" s="15"/>
      <c r="K8" s="50">
        <v>2</v>
      </c>
    </row>
    <row r="9" spans="1:15" x14ac:dyDescent="0.25">
      <c r="A9" s="11" t="s">
        <v>67</v>
      </c>
      <c r="B9" s="23" t="s">
        <v>75</v>
      </c>
      <c r="C9" s="43"/>
      <c r="E9" s="5"/>
      <c r="F9" s="5"/>
      <c r="G9" s="5"/>
      <c r="H9" s="5"/>
      <c r="I9" s="5"/>
      <c r="J9" s="15"/>
    </row>
    <row r="10" spans="1:15" x14ac:dyDescent="0.25">
      <c r="A10" s="11" t="s">
        <v>65</v>
      </c>
      <c r="B10" s="23"/>
      <c r="C10" s="43"/>
      <c r="E10" s="5"/>
      <c r="F10" s="5"/>
      <c r="G10" s="5"/>
      <c r="H10" s="5"/>
      <c r="I10" s="5"/>
      <c r="J10" s="15"/>
    </row>
    <row r="11" spans="1:15" x14ac:dyDescent="0.25">
      <c r="A11" s="11" t="s">
        <v>46</v>
      </c>
      <c r="B11" s="10"/>
      <c r="C11" s="43"/>
      <c r="E11" s="5"/>
      <c r="F11" s="5"/>
      <c r="G11" s="5"/>
      <c r="H11" s="5"/>
      <c r="I11" s="5"/>
      <c r="J11" s="15"/>
    </row>
    <row r="12" spans="1:15" x14ac:dyDescent="0.25">
      <c r="A12" s="11" t="s">
        <v>47</v>
      </c>
      <c r="B12" s="12">
        <v>60</v>
      </c>
      <c r="C12" s="43"/>
      <c r="E12" s="5"/>
      <c r="F12" s="5"/>
      <c r="G12" s="5"/>
      <c r="H12" s="5"/>
      <c r="I12" s="5" t="s">
        <v>98</v>
      </c>
      <c r="J12" s="45" t="b">
        <v>0</v>
      </c>
    </row>
    <row r="13" spans="1:15" x14ac:dyDescent="0.25">
      <c r="E13" s="5"/>
      <c r="F13" s="5"/>
      <c r="G13" s="5"/>
      <c r="H13" s="5"/>
      <c r="I13" s="5" t="s">
        <v>66</v>
      </c>
      <c r="J13" s="15" t="s">
        <v>49</v>
      </c>
    </row>
    <row r="14" spans="1:15" x14ac:dyDescent="0.25">
      <c r="A14" s="70" t="s">
        <v>40</v>
      </c>
      <c r="B14" s="70"/>
      <c r="E14" s="5"/>
      <c r="F14" s="5"/>
      <c r="G14" s="5"/>
      <c r="H14" s="5"/>
      <c r="I14" s="5"/>
      <c r="J14" s="15"/>
    </row>
    <row r="15" spans="1:15" x14ac:dyDescent="0.25">
      <c r="A15" s="47" t="s">
        <v>109</v>
      </c>
      <c r="B15" s="47" t="s">
        <v>111</v>
      </c>
      <c r="C15" s="47" t="s">
        <v>123</v>
      </c>
      <c r="E15" s="5"/>
      <c r="F15" s="5"/>
      <c r="G15" s="5"/>
      <c r="H15" s="5"/>
      <c r="I15" s="38" t="s">
        <v>74</v>
      </c>
      <c r="J15" s="16">
        <f ca="1">TODAY()</f>
        <v>42744</v>
      </c>
    </row>
    <row r="16" spans="1:15" ht="14.45" customHeight="1" x14ac:dyDescent="0.25">
      <c r="A16" s="6" t="s">
        <v>91</v>
      </c>
      <c r="B16" s="6" t="s">
        <v>91</v>
      </c>
      <c r="C16" s="6" t="s">
        <v>91</v>
      </c>
      <c r="I16" s="13" t="s">
        <v>117</v>
      </c>
      <c r="J16" s="16">
        <f ca="1">TODAY()-7</f>
        <v>42737</v>
      </c>
      <c r="O16" s="7"/>
    </row>
    <row r="17" spans="1:20" x14ac:dyDescent="0.25">
      <c r="A17" s="17" t="s">
        <v>95</v>
      </c>
      <c r="B17" s="17" t="s">
        <v>95</v>
      </c>
      <c r="C17" s="17" t="s">
        <v>95</v>
      </c>
      <c r="I17" s="13" t="s">
        <v>116</v>
      </c>
      <c r="J17" s="16">
        <f ca="1">CHOOSE(WEEKDAY(TODAY(),2),TODAY()-3,TODAY()-1,TODAY()-1,TODAY()-1,TODAY()-1,TODAY()-1,TODAY()-2)</f>
        <v>42741</v>
      </c>
      <c r="L17" s="7"/>
    </row>
    <row r="18" spans="1:20" x14ac:dyDescent="0.25">
      <c r="A18" s="8" t="s">
        <v>135</v>
      </c>
      <c r="B18" s="8" t="str">
        <f ca="1">"&lt;Start&gt;" &amp; TEXT($J$19, "yyyy-mm-dd") &amp;"&lt;/Start&gt;&lt;End&gt;"&amp; TEXT( $J$15,"yyyy-mm-dd") &amp;"&lt;/End&gt;"</f>
        <v>&lt;Start&gt;2016-12-10&lt;/Start&gt;&lt;End&gt;2017-01-09&lt;/End&gt;</v>
      </c>
      <c r="C18" s="8" t="str">
        <f ca="1">"&lt;Start&gt;" &amp; TEXT($J$16, "yyyy-mm-dd") &amp;"&lt;/Start&gt;&lt;End&gt;"&amp; TEXT( $J$15,"yyyy-mm-dd") &amp;"&lt;/End&gt;"</f>
        <v>&lt;Start&gt;2017-01-02&lt;/Start&gt;&lt;End&gt;2017-01-09&lt;/End&gt;</v>
      </c>
      <c r="I18" s="38" t="s">
        <v>73</v>
      </c>
      <c r="J18" s="39">
        <f ca="1">DATE(L18, 9, 1)</f>
        <v>42614</v>
      </c>
      <c r="K18" s="48" t="s">
        <v>89</v>
      </c>
      <c r="L18" s="49">
        <f ca="1">IF(MONTH(J15)&gt;=9, YEAR(J15), YEAR(J15)-1)</f>
        <v>2016</v>
      </c>
    </row>
    <row r="19" spans="1:20" x14ac:dyDescent="0.25">
      <c r="A19" s="9"/>
      <c r="B19" s="9"/>
      <c r="I19" s="13" t="s">
        <v>115</v>
      </c>
      <c r="J19" s="16">
        <f ca="1">TODAY()-30</f>
        <v>42714</v>
      </c>
    </row>
    <row r="20" spans="1:20" x14ac:dyDescent="0.25">
      <c r="A20" s="54" t="s">
        <v>124</v>
      </c>
      <c r="B20" s="47" t="s">
        <v>125</v>
      </c>
      <c r="C20" s="47" t="s">
        <v>112</v>
      </c>
      <c r="I20" s="13" t="s">
        <v>114</v>
      </c>
      <c r="J20" s="16">
        <f ca="1">TODAY()-14</f>
        <v>42730</v>
      </c>
    </row>
    <row r="21" spans="1:20" ht="14.45" customHeight="1" x14ac:dyDescent="0.25">
      <c r="A21" s="6" t="s">
        <v>91</v>
      </c>
      <c r="B21" s="6" t="s">
        <v>91</v>
      </c>
      <c r="C21" s="6" t="s">
        <v>91</v>
      </c>
      <c r="I21" s="13" t="s">
        <v>113</v>
      </c>
      <c r="J21" s="51">
        <f ca="1">TODAY()+7</f>
        <v>42751</v>
      </c>
    </row>
    <row r="22" spans="1:20" x14ac:dyDescent="0.25">
      <c r="A22" s="17" t="s">
        <v>95</v>
      </c>
      <c r="B22" s="17" t="s">
        <v>95</v>
      </c>
      <c r="C22" s="17" t="s">
        <v>95</v>
      </c>
      <c r="L22" t="s">
        <v>129</v>
      </c>
      <c r="O22" t="s">
        <v>91</v>
      </c>
      <c r="T22" t="s">
        <v>95</v>
      </c>
    </row>
    <row r="23" spans="1:20" x14ac:dyDescent="0.25">
      <c r="A23" s="8" t="s">
        <v>94</v>
      </c>
      <c r="B23" s="8" t="str">
        <f ca="1">"&lt;Start&gt;" &amp; TEXT($J$16, "yyyy-mm-dd") &amp;"&lt;/Start&gt;&lt;End&gt;"&amp; TEXT( $J$15,"yyyy-mm-dd") &amp;"&lt;/End&gt;"</f>
        <v>&lt;Start&gt;2017-01-02&lt;/Start&gt;&lt;End&gt;2017-01-09&lt;/End&gt;</v>
      </c>
      <c r="C23" s="8" t="str">
        <f ca="1">"&lt;Start&gt;" &amp; TEXT($J$19, "yyyy-mm-dd") &amp;"&lt;/Start&gt;&lt;End&gt;"&amp; TEXT( $J$15,"yyyy-mm-dd") &amp;"&lt;/End&gt;"</f>
        <v>&lt;Start&gt;2016-12-10&lt;/Start&gt;&lt;End&gt;2017-01-09&lt;/End&gt;</v>
      </c>
    </row>
    <row r="24" spans="1:20" x14ac:dyDescent="0.25">
      <c r="I24" s="52" t="s">
        <v>120</v>
      </c>
      <c r="J24" s="45" t="b">
        <v>1</v>
      </c>
    </row>
    <row r="25" spans="1:20" x14ac:dyDescent="0.25">
      <c r="A25" s="47" t="s">
        <v>104</v>
      </c>
      <c r="B25" s="47" t="s">
        <v>97</v>
      </c>
      <c r="C25" s="47" t="s">
        <v>96</v>
      </c>
    </row>
    <row r="26" spans="1:20" x14ac:dyDescent="0.25">
      <c r="A26" s="6" t="s">
        <v>91</v>
      </c>
      <c r="B26" s="6" t="s">
        <v>91</v>
      </c>
      <c r="C26" s="6" t="s">
        <v>91</v>
      </c>
      <c r="I26" s="53" t="s">
        <v>121</v>
      </c>
    </row>
    <row r="27" spans="1:20" x14ac:dyDescent="0.25">
      <c r="A27" s="17" t="s">
        <v>95</v>
      </c>
      <c r="B27" s="17" t="s">
        <v>95</v>
      </c>
      <c r="C27" s="17" t="s">
        <v>95</v>
      </c>
    </row>
    <row r="28" spans="1:20" x14ac:dyDescent="0.25">
      <c r="A28" s="8" t="str">
        <f ca="1">"&lt;Start&gt;" &amp; TEXT($J$18, "yyyy-mm-dd") &amp;"&lt;/Start&gt;&lt;End&gt;"&amp; TEXT( $J$15,"yyyy-mm-dd") &amp;"&lt;/End&gt;"</f>
        <v>&lt;Start&gt;2016-09-01&lt;/Start&gt;&lt;End&gt;2017-01-09&lt;/End&gt;</v>
      </c>
      <c r="B28" s="8" t="str">
        <f ca="1">"&lt;Start&gt;" &amp; TEXT($J$19, "yyyy-mm-dd") &amp;"&lt;/Start&gt;&lt;End&gt;"&amp; TEXT( $J$15,"yyyy-mm-dd") &amp;"&lt;/End&gt;"</f>
        <v>&lt;Start&gt;2016-12-10&lt;/Start&gt;&lt;End&gt;2017-01-09&lt;/End&gt;</v>
      </c>
      <c r="C28" s="8" t="str">
        <f ca="1">"&lt;Start&gt;" &amp; TEXT($J$16, "yyyy-mm-dd") &amp;"&lt;/Start&gt;&lt;End&gt;"&amp; TEXT( $J$15,"yyyy-mm-dd") &amp;"&lt;/End&gt;"</f>
        <v>&lt;Start&gt;2017-01-02&lt;/Start&gt;&lt;End&gt;2017-01-09&lt;/End&gt;</v>
      </c>
    </row>
    <row r="29" spans="1:20" x14ac:dyDescent="0.25">
      <c r="A29" s="9"/>
      <c r="B29" s="9"/>
    </row>
    <row r="31" spans="1:20" x14ac:dyDescent="0.25">
      <c r="A31" s="70" t="s">
        <v>132</v>
      </c>
      <c r="B31" s="70"/>
      <c r="I31" t="s">
        <v>177</v>
      </c>
      <c r="J31" s="66">
        <v>42744.776284722226</v>
      </c>
    </row>
    <row r="32" spans="1:20" x14ac:dyDescent="0.25">
      <c r="A32" s="55" t="s">
        <v>137</v>
      </c>
      <c r="B32" s="55" t="s">
        <v>122</v>
      </c>
      <c r="C32" s="55" t="s">
        <v>126</v>
      </c>
    </row>
    <row r="33" spans="1:9" x14ac:dyDescent="0.25">
      <c r="A33" s="6" t="s">
        <v>131</v>
      </c>
      <c r="B33" s="6" t="s">
        <v>131</v>
      </c>
      <c r="C33" s="6" t="s">
        <v>131</v>
      </c>
    </row>
    <row r="34" spans="1:9" x14ac:dyDescent="0.25">
      <c r="A34" s="17" t="s">
        <v>141</v>
      </c>
      <c r="B34" s="17" t="s">
        <v>141</v>
      </c>
      <c r="C34" s="17" t="s">
        <v>141</v>
      </c>
      <c r="I34" s="56"/>
    </row>
    <row r="35" spans="1:9" x14ac:dyDescent="0.25">
      <c r="A35" s="8" t="str">
        <f ca="1">"&lt;Start&gt;" &amp; TEXT($J$19, "yyyy-mm-dd") &amp;"&lt;/Start&gt;&lt;End&gt;"&amp; TEXT( $J$15,"yyyy-mm-dd") &amp;"&lt;/End&gt;"</f>
        <v>&lt;Start&gt;2016-12-10&lt;/Start&gt;&lt;End&gt;2017-01-09&lt;/End&gt;</v>
      </c>
      <c r="B35" s="8" t="str">
        <f ca="1">"&lt;Start&gt;" &amp; TEXT($J$19, "yyyy-mm-dd") &amp;"&lt;/Start&gt;&lt;End&gt;"&amp; TEXT( $J$15,"yyyy-mm-dd") &amp;"&lt;/End&gt;"</f>
        <v>&lt;Start&gt;2016-12-10&lt;/Start&gt;&lt;End&gt;2017-01-09&lt;/End&gt;</v>
      </c>
      <c r="C35" s="8" t="str">
        <f ca="1">"&lt;Start&gt;" &amp; TEXT($J$19, "yyyy-mm-dd") &amp;"&lt;/Start&gt;&lt;End&gt;"&amp; TEXT( $J$15,"yyyy-mm-dd") &amp;"&lt;/End&gt;"</f>
        <v>&lt;Start&gt;2016-12-10&lt;/Start&gt;&lt;End&gt;2017-01-09&lt;/End&gt;</v>
      </c>
    </row>
    <row r="36" spans="1:9" x14ac:dyDescent="0.25">
      <c r="A36" s="9"/>
      <c r="B36" s="9"/>
    </row>
    <row r="37" spans="1:9" x14ac:dyDescent="0.25">
      <c r="A37" s="55" t="s">
        <v>138</v>
      </c>
      <c r="B37" s="55" t="s">
        <v>139</v>
      </c>
      <c r="C37" s="55" t="s">
        <v>140</v>
      </c>
    </row>
    <row r="38" spans="1:9" x14ac:dyDescent="0.25">
      <c r="A38" s="6" t="s">
        <v>131</v>
      </c>
      <c r="B38" s="6" t="s">
        <v>131</v>
      </c>
      <c r="C38" s="6" t="s">
        <v>131</v>
      </c>
    </row>
    <row r="39" spans="1:9" x14ac:dyDescent="0.25">
      <c r="A39" s="17" t="s">
        <v>141</v>
      </c>
      <c r="B39" s="17" t="s">
        <v>141</v>
      </c>
      <c r="C39" s="17" t="s">
        <v>141</v>
      </c>
    </row>
    <row r="40" spans="1:9" x14ac:dyDescent="0.25">
      <c r="A40" s="8" t="str">
        <f ca="1">"&lt;Start&gt;" &amp; TEXT($J$19, "yyyy-mm-dd") &amp;"&lt;/Start&gt;&lt;End&gt;"&amp; TEXT( $J$15,"yyyy-mm-dd") &amp;"&lt;/End&gt;"</f>
        <v>&lt;Start&gt;2016-12-10&lt;/Start&gt;&lt;End&gt;2017-01-09&lt;/End&gt;</v>
      </c>
      <c r="B40" s="8" t="str">
        <f ca="1">"&lt;Start&gt;" &amp; TEXT($J$19, "yyyy-mm-dd") &amp;"&lt;/Start&gt;&lt;End&gt;"&amp; TEXT( $J$15,"yyyy-mm-dd") &amp;"&lt;/End&gt;"</f>
        <v>&lt;Start&gt;2016-12-10&lt;/Start&gt;&lt;End&gt;2017-01-09&lt;/End&gt;</v>
      </c>
      <c r="C40" s="8" t="str">
        <f ca="1">"&lt;Start&gt;" &amp; TEXT($J$19, "yyyy-mm-dd") &amp;"&lt;/Start&gt;&lt;End&gt;"&amp; TEXT( $J$15,"yyyy-mm-dd") &amp;"&lt;/End&gt;"</f>
        <v>&lt;Start&gt;2016-12-10&lt;/Start&gt;&lt;End&gt;2017-01-09&lt;/End&gt;</v>
      </c>
    </row>
    <row r="42" spans="1:9" x14ac:dyDescent="0.25">
      <c r="A42" s="55" t="s">
        <v>127</v>
      </c>
      <c r="B42" s="55" t="s">
        <v>128</v>
      </c>
      <c r="C42" s="47" t="s">
        <v>136</v>
      </c>
    </row>
    <row r="43" spans="1:9" x14ac:dyDescent="0.25">
      <c r="A43" s="6" t="s">
        <v>131</v>
      </c>
      <c r="B43" s="6" t="s">
        <v>131</v>
      </c>
      <c r="C43" s="6" t="s">
        <v>131</v>
      </c>
    </row>
    <row r="44" spans="1:9" x14ac:dyDescent="0.25">
      <c r="A44" s="17" t="s">
        <v>141</v>
      </c>
      <c r="B44" s="17" t="s">
        <v>141</v>
      </c>
      <c r="C44" s="17" t="s">
        <v>141</v>
      </c>
    </row>
    <row r="45" spans="1:9" x14ac:dyDescent="0.25">
      <c r="A45" s="8" t="str">
        <f ca="1">"&lt;Start&gt;" &amp; TEXT($J$18, "yyyy-mm-dd") &amp;"&lt;/Start&gt;&lt;End&gt;"&amp; TEXT( $J$15,"yyyy-mm-dd") &amp;"&lt;/End&gt;"</f>
        <v>&lt;Start&gt;2016-09-01&lt;/Start&gt;&lt;End&gt;2017-01-09&lt;/End&gt;</v>
      </c>
      <c r="B45" s="8" t="str">
        <f ca="1">"&lt;Start&gt;" &amp; TEXT($J$19, "yyyy-mm-dd") &amp;"&lt;/Start&gt;&lt;End&gt;"&amp; TEXT( $J$15,"yyyy-mm-dd") &amp;"&lt;/End&gt;"</f>
        <v>&lt;Start&gt;2016-12-10&lt;/Start&gt;&lt;End&gt;2017-01-09&lt;/End&gt;</v>
      </c>
      <c r="C45" s="8" t="str">
        <f ca="1">"&lt;Start&gt;" &amp; TEXT($J$19, "yyyy-mm-dd") &amp;"&lt;/Start&gt;&lt;End&gt;"&amp; TEXT( $J$15,"yyyy-mm-dd") &amp;"&lt;/End&gt;"</f>
        <v>&lt;Start&gt;2016-12-10&lt;/Start&gt;&lt;End&gt;2017-01-09&lt;/End&gt;</v>
      </c>
    </row>
    <row r="46" spans="1:9" x14ac:dyDescent="0.25">
      <c r="A46" s="9"/>
      <c r="B46" s="9"/>
    </row>
    <row r="47" spans="1:9" x14ac:dyDescent="0.25">
      <c r="A47" s="1"/>
    </row>
    <row r="48" spans="1:9" x14ac:dyDescent="0.25">
      <c r="A48" s="1"/>
    </row>
    <row r="49" spans="1:15" x14ac:dyDescent="0.25">
      <c r="A49" s="71" t="s">
        <v>72</v>
      </c>
      <c r="B49" s="71"/>
      <c r="C49" s="40" t="s">
        <v>90</v>
      </c>
      <c r="L49" t="s">
        <v>130</v>
      </c>
      <c r="O49" t="s">
        <v>131</v>
      </c>
    </row>
    <row r="50" spans="1:15" ht="45" x14ac:dyDescent="0.25">
      <c r="A50" s="21" t="s">
        <v>6</v>
      </c>
      <c r="B50" s="18" t="s">
        <v>53</v>
      </c>
      <c r="C50" s="43"/>
    </row>
    <row r="51" spans="1:15" x14ac:dyDescent="0.25">
      <c r="A51" s="21"/>
      <c r="B51" s="18" t="s">
        <v>54</v>
      </c>
      <c r="C51" s="43"/>
    </row>
    <row r="52" spans="1:15" ht="30" x14ac:dyDescent="0.25">
      <c r="A52" s="21"/>
      <c r="B52" s="18" t="s">
        <v>8</v>
      </c>
      <c r="C52" s="42"/>
    </row>
    <row r="53" spans="1:15" x14ac:dyDescent="0.25">
      <c r="A53" s="21"/>
      <c r="B53" s="18"/>
    </row>
    <row r="54" spans="1:15" ht="30" x14ac:dyDescent="0.25">
      <c r="A54" s="21" t="s">
        <v>41</v>
      </c>
      <c r="B54" s="18" t="s">
        <v>55</v>
      </c>
      <c r="C54" s="44"/>
    </row>
    <row r="55" spans="1:15" ht="30" x14ac:dyDescent="0.25">
      <c r="A55" s="21"/>
      <c r="B55" s="18" t="s">
        <v>56</v>
      </c>
      <c r="C55" s="43"/>
    </row>
    <row r="56" spans="1:15" ht="45" x14ac:dyDescent="0.25">
      <c r="A56" s="21"/>
      <c r="B56" s="18" t="s">
        <v>68</v>
      </c>
      <c r="C56" s="43"/>
    </row>
    <row r="57" spans="1:15" ht="30" x14ac:dyDescent="0.25">
      <c r="A57" s="21"/>
      <c r="B57" s="18" t="s">
        <v>69</v>
      </c>
      <c r="C57" s="44"/>
      <c r="G57" t="s">
        <v>48</v>
      </c>
    </row>
    <row r="58" spans="1:15" x14ac:dyDescent="0.25">
      <c r="A58" s="21"/>
      <c r="B58" s="19"/>
    </row>
    <row r="59" spans="1:15" ht="45" x14ac:dyDescent="0.25">
      <c r="A59" s="21" t="s">
        <v>7</v>
      </c>
      <c r="B59" s="18" t="s">
        <v>57</v>
      </c>
      <c r="C59" s="43"/>
    </row>
    <row r="60" spans="1:15" ht="45" x14ac:dyDescent="0.25">
      <c r="A60" s="21"/>
      <c r="B60" s="18" t="s">
        <v>9</v>
      </c>
      <c r="C60" s="43"/>
    </row>
    <row r="61" spans="1:15" x14ac:dyDescent="0.25">
      <c r="A61" s="21"/>
      <c r="B61" s="18" t="s">
        <v>11</v>
      </c>
      <c r="C61" s="43"/>
    </row>
    <row r="62" spans="1:15" x14ac:dyDescent="0.25">
      <c r="A62" s="21"/>
      <c r="B62" s="18" t="s">
        <v>70</v>
      </c>
      <c r="C62" s="41"/>
    </row>
    <row r="63" spans="1:15" x14ac:dyDescent="0.25">
      <c r="A63" s="21"/>
      <c r="B63" s="18"/>
    </row>
    <row r="64" spans="1:15" ht="75" x14ac:dyDescent="0.25">
      <c r="A64" s="21" t="s">
        <v>10</v>
      </c>
      <c r="B64" s="18" t="s">
        <v>99</v>
      </c>
      <c r="C64" s="43"/>
    </row>
    <row r="65" spans="1:3" x14ac:dyDescent="0.25">
      <c r="A65" s="21"/>
      <c r="B65" s="18"/>
    </row>
    <row r="66" spans="1:3" x14ac:dyDescent="0.25">
      <c r="A66" s="21" t="s">
        <v>42</v>
      </c>
      <c r="B66" s="18" t="s">
        <v>58</v>
      </c>
      <c r="C66" s="43"/>
    </row>
    <row r="67" spans="1:3" ht="35.25" customHeight="1" x14ac:dyDescent="0.25">
      <c r="A67" s="21"/>
      <c r="B67" s="18" t="s">
        <v>64</v>
      </c>
      <c r="C67" s="43"/>
    </row>
    <row r="68" spans="1:3" x14ac:dyDescent="0.25">
      <c r="A68" s="21"/>
      <c r="B68" s="18"/>
    </row>
    <row r="69" spans="1:3" x14ac:dyDescent="0.25">
      <c r="A69" s="21"/>
      <c r="B69" s="18"/>
    </row>
    <row r="70" spans="1:3" x14ac:dyDescent="0.25">
      <c r="A70" s="21" t="s">
        <v>14</v>
      </c>
      <c r="B70" s="18" t="s">
        <v>12</v>
      </c>
      <c r="C70" s="43"/>
    </row>
    <row r="71" spans="1:3" x14ac:dyDescent="0.25">
      <c r="A71" s="21"/>
      <c r="B71" s="18" t="s">
        <v>13</v>
      </c>
      <c r="C71" s="43"/>
    </row>
    <row r="72" spans="1:3" ht="30" x14ac:dyDescent="0.25">
      <c r="A72" s="21"/>
      <c r="B72" s="18" t="s">
        <v>59</v>
      </c>
      <c r="C72" s="43"/>
    </row>
    <row r="73" spans="1:3" ht="75" x14ac:dyDescent="0.25">
      <c r="A73" s="21"/>
      <c r="B73" s="18" t="s">
        <v>60</v>
      </c>
      <c r="C73" s="43"/>
    </row>
    <row r="74" spans="1:3" ht="30" x14ac:dyDescent="0.25">
      <c r="A74" s="21"/>
      <c r="B74" s="18" t="s">
        <v>61</v>
      </c>
      <c r="C74" s="43"/>
    </row>
    <row r="75" spans="1:3" x14ac:dyDescent="0.25">
      <c r="A75" s="21"/>
      <c r="B75" s="18"/>
    </row>
    <row r="76" spans="1:3" ht="30" x14ac:dyDescent="0.25">
      <c r="A76" s="21" t="s">
        <v>15</v>
      </c>
      <c r="B76" s="18" t="s">
        <v>16</v>
      </c>
      <c r="C76" s="41"/>
    </row>
    <row r="77" spans="1:3" ht="60" x14ac:dyDescent="0.25">
      <c r="A77" s="21"/>
      <c r="B77" s="18" t="s">
        <v>17</v>
      </c>
      <c r="C77" s="41"/>
    </row>
    <row r="78" spans="1:3" ht="30" x14ac:dyDescent="0.25">
      <c r="A78" s="21"/>
      <c r="B78" s="18" t="s">
        <v>18</v>
      </c>
      <c r="C78" s="41"/>
    </row>
    <row r="79" spans="1:3" x14ac:dyDescent="0.25">
      <c r="A79" s="21"/>
      <c r="B79" s="18" t="s">
        <v>19</v>
      </c>
      <c r="C79" s="41"/>
    </row>
    <row r="80" spans="1:3" x14ac:dyDescent="0.25">
      <c r="A80" s="21"/>
      <c r="B80" s="18"/>
    </row>
    <row r="81" spans="1:3" ht="45" x14ac:dyDescent="0.25">
      <c r="A81" s="21" t="s">
        <v>20</v>
      </c>
      <c r="B81" s="18" t="s">
        <v>21</v>
      </c>
      <c r="C81" s="41"/>
    </row>
    <row r="82" spans="1:3" ht="30" x14ac:dyDescent="0.25">
      <c r="A82" s="21"/>
      <c r="B82" s="18" t="s">
        <v>22</v>
      </c>
      <c r="C82" s="41"/>
    </row>
    <row r="83" spans="1:3" x14ac:dyDescent="0.25">
      <c r="A83" s="21"/>
      <c r="B83" s="18" t="s">
        <v>23</v>
      </c>
      <c r="C83" s="41"/>
    </row>
    <row r="84" spans="1:3" x14ac:dyDescent="0.25">
      <c r="A84" s="21"/>
      <c r="B84" s="18" t="s">
        <v>24</v>
      </c>
      <c r="C84" s="41"/>
    </row>
    <row r="85" spans="1:3" ht="45" x14ac:dyDescent="0.25">
      <c r="A85" s="21"/>
      <c r="B85" s="18" t="s">
        <v>62</v>
      </c>
      <c r="C85" s="41"/>
    </row>
    <row r="86" spans="1:3" ht="30" x14ac:dyDescent="0.25">
      <c r="A86" s="21"/>
      <c r="B86" s="18" t="s">
        <v>63</v>
      </c>
      <c r="C86" s="41"/>
    </row>
    <row r="87" spans="1:3" x14ac:dyDescent="0.25">
      <c r="A87" s="21"/>
      <c r="B87" s="18" t="s">
        <v>50</v>
      </c>
      <c r="C87" s="41"/>
    </row>
    <row r="88" spans="1:3" ht="30" x14ac:dyDescent="0.25">
      <c r="A88" s="21"/>
      <c r="B88" s="18" t="s">
        <v>51</v>
      </c>
      <c r="C88" s="41"/>
    </row>
    <row r="89" spans="1:3" x14ac:dyDescent="0.25">
      <c r="A89" s="21"/>
      <c r="B89" s="18"/>
    </row>
    <row r="90" spans="1:3" x14ac:dyDescent="0.25">
      <c r="A90" s="21" t="s">
        <v>25</v>
      </c>
      <c r="B90" s="18" t="s">
        <v>26</v>
      </c>
      <c r="C90" s="43"/>
    </row>
    <row r="91" spans="1:3" ht="30" x14ac:dyDescent="0.25">
      <c r="A91" s="21"/>
      <c r="B91" s="18" t="s">
        <v>27</v>
      </c>
      <c r="C91" s="43"/>
    </row>
    <row r="92" spans="1:3" x14ac:dyDescent="0.25">
      <c r="A92" s="21"/>
      <c r="B92" s="18" t="s">
        <v>39</v>
      </c>
      <c r="C92" s="41"/>
    </row>
    <row r="93" spans="1:3" x14ac:dyDescent="0.25">
      <c r="A93" s="21"/>
      <c r="B93" s="18"/>
    </row>
    <row r="94" spans="1:3" ht="30" x14ac:dyDescent="0.25">
      <c r="A94" s="21" t="s">
        <v>28</v>
      </c>
      <c r="B94" s="18" t="s">
        <v>29</v>
      </c>
      <c r="C94" s="41"/>
    </row>
    <row r="95" spans="1:3" x14ac:dyDescent="0.25">
      <c r="A95" s="21"/>
      <c r="B95" s="18" t="s">
        <v>30</v>
      </c>
      <c r="C95" s="41"/>
    </row>
    <row r="96" spans="1:3" x14ac:dyDescent="0.25">
      <c r="A96" s="21"/>
      <c r="B96" s="18" t="s">
        <v>31</v>
      </c>
      <c r="C96" s="41"/>
    </row>
    <row r="97" spans="1:3" x14ac:dyDescent="0.25">
      <c r="A97" s="21"/>
      <c r="B97" s="18"/>
    </row>
    <row r="98" spans="1:3" ht="30" x14ac:dyDescent="0.25">
      <c r="A98" s="21" t="s">
        <v>32</v>
      </c>
      <c r="B98" s="18" t="s">
        <v>33</v>
      </c>
      <c r="C98" s="41"/>
    </row>
    <row r="99" spans="1:3" ht="30" x14ac:dyDescent="0.25">
      <c r="A99" s="21"/>
      <c r="B99" s="18" t="s">
        <v>34</v>
      </c>
      <c r="C99" s="41"/>
    </row>
    <row r="100" spans="1:3" x14ac:dyDescent="0.25">
      <c r="A100" s="21"/>
      <c r="B100" s="18" t="s">
        <v>35</v>
      </c>
      <c r="C100" s="41"/>
    </row>
    <row r="101" spans="1:3" x14ac:dyDescent="0.25">
      <c r="A101" s="21"/>
      <c r="B101" s="18"/>
    </row>
    <row r="102" spans="1:3" x14ac:dyDescent="0.25">
      <c r="A102" s="21" t="s">
        <v>36</v>
      </c>
      <c r="B102" s="18" t="s">
        <v>37</v>
      </c>
      <c r="C102" s="41"/>
    </row>
    <row r="103" spans="1:3" ht="30" x14ac:dyDescent="0.25">
      <c r="A103" s="21"/>
      <c r="B103" s="18" t="s">
        <v>38</v>
      </c>
      <c r="C103" s="41"/>
    </row>
    <row r="104" spans="1:3" x14ac:dyDescent="0.25">
      <c r="A104" s="21"/>
      <c r="B104" s="18"/>
    </row>
    <row r="105" spans="1:3" ht="30" x14ac:dyDescent="0.25">
      <c r="A105" s="22" t="s">
        <v>44</v>
      </c>
      <c r="B105" s="20" t="s">
        <v>45</v>
      </c>
      <c r="C105" s="41"/>
    </row>
    <row r="106" spans="1:3" x14ac:dyDescent="0.25">
      <c r="C106" s="41"/>
    </row>
    <row r="107" spans="1:3" ht="15.75" thickBot="1" x14ac:dyDescent="0.3">
      <c r="A107" t="s">
        <v>77</v>
      </c>
    </row>
    <row r="108" spans="1:3" x14ac:dyDescent="0.25">
      <c r="A108" s="31" t="s">
        <v>78</v>
      </c>
      <c r="B108" s="25"/>
    </row>
    <row r="109" spans="1:3" ht="15" customHeight="1" x14ac:dyDescent="0.25">
      <c r="A109" s="32" t="s">
        <v>79</v>
      </c>
      <c r="B109" s="26"/>
    </row>
    <row r="110" spans="1:3" x14ac:dyDescent="0.25">
      <c r="A110" s="33" t="s">
        <v>80</v>
      </c>
      <c r="B110" s="27"/>
    </row>
    <row r="111" spans="1:3" ht="15" customHeight="1" x14ac:dyDescent="0.25">
      <c r="A111" s="34" t="s">
        <v>81</v>
      </c>
      <c r="B111" s="29"/>
    </row>
    <row r="112" spans="1:3" x14ac:dyDescent="0.25">
      <c r="A112" s="35"/>
      <c r="B112" s="25"/>
    </row>
    <row r="113" spans="1:2" x14ac:dyDescent="0.25">
      <c r="A113" s="35" t="s">
        <v>82</v>
      </c>
      <c r="B113" s="25"/>
    </row>
    <row r="114" spans="1:2" x14ac:dyDescent="0.25">
      <c r="A114" s="33" t="s">
        <v>83</v>
      </c>
      <c r="B114" s="27"/>
    </row>
    <row r="115" spans="1:2" x14ac:dyDescent="0.25">
      <c r="A115" s="36" t="s">
        <v>84</v>
      </c>
      <c r="B115" s="28"/>
    </row>
    <row r="116" spans="1:2" ht="15" customHeight="1" thickBot="1" x14ac:dyDescent="0.3">
      <c r="A116" s="37" t="s">
        <v>85</v>
      </c>
      <c r="B116" s="29"/>
    </row>
    <row r="117" spans="1:2" x14ac:dyDescent="0.25">
      <c r="A117" s="72"/>
      <c r="B117" s="72"/>
    </row>
    <row r="118" spans="1:2" ht="15" customHeight="1" x14ac:dyDescent="0.25">
      <c r="A118" s="74"/>
      <c r="B118" s="74"/>
    </row>
    <row r="119" spans="1:2" x14ac:dyDescent="0.25">
      <c r="A119" s="72"/>
      <c r="B119" s="72"/>
    </row>
    <row r="120" spans="1:2" x14ac:dyDescent="0.25">
      <c r="A120" s="72"/>
      <c r="B120" s="72"/>
    </row>
    <row r="121" spans="1:2" x14ac:dyDescent="0.25">
      <c r="A121" s="72"/>
      <c r="B121" s="72"/>
    </row>
    <row r="122" spans="1:2" x14ac:dyDescent="0.25">
      <c r="A122" s="73"/>
      <c r="B122" s="73"/>
    </row>
    <row r="123" spans="1:2" x14ac:dyDescent="0.25">
      <c r="A123" s="30"/>
      <c r="B123" s="24"/>
    </row>
  </sheetData>
  <mergeCells count="9">
    <mergeCell ref="A14:B14"/>
    <mergeCell ref="A49:B49"/>
    <mergeCell ref="A121:B121"/>
    <mergeCell ref="A122:B122"/>
    <mergeCell ref="A117:B117"/>
    <mergeCell ref="A118:B118"/>
    <mergeCell ref="A119:B119"/>
    <mergeCell ref="A120:B120"/>
    <mergeCell ref="A31:B31"/>
  </mergeCells>
  <conditionalFormatting sqref="J24 J12">
    <cfRule type="cellIs" dxfId="1" priority="1" operator="equal">
      <formula>FALSE</formula>
    </cfRule>
    <cfRule type="cellIs" dxfId="0" priority="2" operator="equal">
      <formula>TRUE</formula>
    </cfRule>
  </conditionalFormatting>
  <hyperlinks>
    <hyperlink ref="A111" r:id="rId1" display="mailto:nicholas.faux@capita.co.uk"/>
    <hyperlink ref="A116" r:id="rId2" display="http://www.capita-sims.co.uk/"/>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049" r:id="rId6" name="Button 1">
              <controlPr defaultSize="0" print="0" autoFill="0" autoPict="0" macro="[0]!_xludf.Unhide">
                <anchor moveWithCells="1">
                  <from>
                    <xdr:col>9</xdr:col>
                    <xdr:colOff>295275</xdr:colOff>
                    <xdr:row>1</xdr:row>
                    <xdr:rowOff>152400</xdr:rowOff>
                  </from>
                  <to>
                    <xdr:col>9</xdr:col>
                    <xdr:colOff>1323975</xdr:colOff>
                    <xdr:row>2</xdr:row>
                    <xdr:rowOff>180975</xdr:rowOff>
                  </to>
                </anchor>
              </controlPr>
            </control>
          </mc:Choice>
        </mc:AlternateContent>
        <mc:AlternateContent xmlns:mc="http://schemas.openxmlformats.org/markup-compatibility/2006">
          <mc:Choice Requires="x14">
            <control shapeId="2050" r:id="rId7" name="Button 2">
              <controlPr defaultSize="0" print="0" autoFill="0" autoPict="0" macro="[0]!Restore_toolbars">
                <anchor moveWithCells="1" sizeWithCells="1">
                  <from>
                    <xdr:col>9</xdr:col>
                    <xdr:colOff>295275</xdr:colOff>
                    <xdr:row>4</xdr:row>
                    <xdr:rowOff>19050</xdr:rowOff>
                  </from>
                  <to>
                    <xdr:col>9</xdr:col>
                    <xdr:colOff>1323975</xdr:colOff>
                    <xdr:row>5</xdr:row>
                    <xdr:rowOff>66675</xdr:rowOff>
                  </to>
                </anchor>
              </controlPr>
            </control>
          </mc:Choice>
        </mc:AlternateContent>
        <mc:AlternateContent xmlns:mc="http://schemas.openxmlformats.org/markup-compatibility/2006">
          <mc:Choice Requires="x14">
            <control shapeId="2051" r:id="rId8" name="Option Button 3">
              <controlPr defaultSize="0" autoFill="0" autoLine="0" autoPict="0">
                <anchor moveWithCells="1">
                  <from>
                    <xdr:col>9</xdr:col>
                    <xdr:colOff>57150</xdr:colOff>
                    <xdr:row>9</xdr:row>
                    <xdr:rowOff>180975</xdr:rowOff>
                  </from>
                  <to>
                    <xdr:col>9</xdr:col>
                    <xdr:colOff>1009650</xdr:colOff>
                    <xdr:row>10</xdr:row>
                    <xdr:rowOff>171450</xdr:rowOff>
                  </to>
                </anchor>
              </controlPr>
            </control>
          </mc:Choice>
        </mc:AlternateContent>
        <mc:AlternateContent xmlns:mc="http://schemas.openxmlformats.org/markup-compatibility/2006">
          <mc:Choice Requires="x14">
            <control shapeId="2052" r:id="rId9" name="Option Button 4">
              <controlPr defaultSize="0" autoFill="0" autoLine="0" autoPict="0">
                <anchor moveWithCells="1">
                  <from>
                    <xdr:col>9</xdr:col>
                    <xdr:colOff>57150</xdr:colOff>
                    <xdr:row>8</xdr:row>
                    <xdr:rowOff>142875</xdr:rowOff>
                  </from>
                  <to>
                    <xdr:col>9</xdr:col>
                    <xdr:colOff>1009650</xdr:colOff>
                    <xdr:row>9</xdr:row>
                    <xdr:rowOff>152400</xdr:rowOff>
                  </to>
                </anchor>
              </controlPr>
            </control>
          </mc:Choice>
        </mc:AlternateContent>
        <mc:AlternateContent xmlns:mc="http://schemas.openxmlformats.org/markup-compatibility/2006">
          <mc:Choice Requires="x14">
            <control shapeId="2055" r:id="rId10" name="Button 7">
              <controlPr defaultSize="0" print="0" autoFill="0" autoPict="0" macro="[0]!get_params">
                <anchor moveWithCells="1" sizeWithCells="1">
                  <from>
                    <xdr:col>9</xdr:col>
                    <xdr:colOff>276225</xdr:colOff>
                    <xdr:row>5</xdr:row>
                    <xdr:rowOff>161925</xdr:rowOff>
                  </from>
                  <to>
                    <xdr:col>9</xdr:col>
                    <xdr:colOff>1304925</xdr:colOff>
                    <xdr:row>7</xdr:row>
                    <xdr:rowOff>0</xdr:rowOff>
                  </to>
                </anchor>
              </controlPr>
            </control>
          </mc:Choice>
        </mc:AlternateContent>
        <mc:AlternateContent xmlns:mc="http://schemas.openxmlformats.org/markup-compatibility/2006">
          <mc:Choice Requires="x14">
            <control shapeId="2059" r:id="rId11" name="Button 11">
              <controlPr defaultSize="0" print="0" autoFill="0" autoPict="0" macro="[0]!run_full">
                <anchor moveWithCells="1" sizeWithCells="1">
                  <from>
                    <xdr:col>9</xdr:col>
                    <xdr:colOff>276225</xdr:colOff>
                    <xdr:row>7</xdr:row>
                    <xdr:rowOff>76200</xdr:rowOff>
                  </from>
                  <to>
                    <xdr:col>9</xdr:col>
                    <xdr:colOff>790575</xdr:colOff>
                    <xdr:row>8</xdr:row>
                    <xdr:rowOff>114300</xdr:rowOff>
                  </to>
                </anchor>
              </controlPr>
            </control>
          </mc:Choice>
        </mc:AlternateContent>
        <mc:AlternateContent xmlns:mc="http://schemas.openxmlformats.org/markup-compatibility/2006">
          <mc:Choice Requires="x14">
            <control shapeId="2061" r:id="rId12" name="Button 13">
              <controlPr defaultSize="0" print="0" autoFill="0" autoPict="0" macro="[0]!run_part">
                <anchor moveWithCells="1" sizeWithCells="1">
                  <from>
                    <xdr:col>9</xdr:col>
                    <xdr:colOff>857250</xdr:colOff>
                    <xdr:row>7</xdr:row>
                    <xdr:rowOff>66675</xdr:rowOff>
                  </from>
                  <to>
                    <xdr:col>9</xdr:col>
                    <xdr:colOff>1409700</xdr:colOff>
                    <xdr:row>8</xdr:row>
                    <xdr:rowOff>104775</xdr:rowOff>
                  </to>
                </anchor>
              </controlPr>
            </control>
          </mc:Choice>
        </mc:AlternateContent>
        <mc:AlternateContent xmlns:mc="http://schemas.openxmlformats.org/markup-compatibility/2006">
          <mc:Choice Requires="x14">
            <control shapeId="2069" r:id="rId13" name="Button 21">
              <controlPr defaultSize="0" print="0" autoFill="0" autoPict="0" macro="[0]!TestSingleReport_CLI">
                <anchor moveWithCells="1" sizeWithCells="1">
                  <from>
                    <xdr:col>10</xdr:col>
                    <xdr:colOff>85725</xdr:colOff>
                    <xdr:row>8</xdr:row>
                    <xdr:rowOff>114300</xdr:rowOff>
                  </from>
                  <to>
                    <xdr:col>10</xdr:col>
                    <xdr:colOff>1857375</xdr:colOff>
                    <xdr:row>11</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L1"/>
  <sheetViews>
    <sheetView workbookViewId="0">
      <selection activeCell="D5" sqref="D5"/>
    </sheetView>
  </sheetViews>
  <sheetFormatPr defaultRowHeight="15" x14ac:dyDescent="0.25"/>
  <cols>
    <col min="2" max="2" width="14.7109375" customWidth="1"/>
    <col min="3" max="3" width="10" bestFit="1" customWidth="1"/>
    <col min="4" max="4" width="17.7109375" bestFit="1" customWidth="1"/>
    <col min="6" max="6" width="11.7109375" bestFit="1" customWidth="1"/>
    <col min="8" max="9" width="16" customWidth="1"/>
  </cols>
  <sheetData>
    <row r="1" spans="1:12" s="59" customFormat="1" ht="33.75" customHeight="1" x14ac:dyDescent="0.25">
      <c r="A1" s="69" t="s">
        <v>172</v>
      </c>
      <c r="B1" s="69" t="s">
        <v>199</v>
      </c>
      <c r="C1" s="60" t="s">
        <v>162</v>
      </c>
      <c r="D1" s="60" t="s">
        <v>161</v>
      </c>
      <c r="E1" s="61" t="s">
        <v>169</v>
      </c>
      <c r="F1" s="61" t="s">
        <v>170</v>
      </c>
      <c r="G1" s="61" t="s">
        <v>165</v>
      </c>
      <c r="H1" s="61" t="s">
        <v>166</v>
      </c>
      <c r="I1" s="61" t="s">
        <v>167</v>
      </c>
      <c r="J1" s="60" t="s">
        <v>168</v>
      </c>
      <c r="K1" s="60"/>
      <c r="L1" s="6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E3"/>
  <sheetViews>
    <sheetView workbookViewId="0">
      <selection activeCell="C19" sqref="C19"/>
    </sheetView>
  </sheetViews>
  <sheetFormatPr defaultColWidth="21.7109375" defaultRowHeight="15" x14ac:dyDescent="0.25"/>
  <cols>
    <col min="1" max="1" width="28" customWidth="1"/>
    <col min="2" max="2" width="35.85546875" customWidth="1"/>
    <col min="3" max="4" width="32.42578125" style="58" customWidth="1"/>
  </cols>
  <sheetData>
    <row r="1" spans="1:5" ht="18.75" x14ac:dyDescent="0.25">
      <c r="A1" s="65" t="s">
        <v>162</v>
      </c>
      <c r="B1" s="65" t="s">
        <v>161</v>
      </c>
      <c r="C1" s="65" t="s">
        <v>163</v>
      </c>
      <c r="D1" s="65" t="s">
        <v>164</v>
      </c>
      <c r="E1" s="65"/>
    </row>
    <row r="2" spans="1:5" s="18" customFormat="1" ht="30" x14ac:dyDescent="0.25">
      <c r="A2" s="62" t="s">
        <v>109</v>
      </c>
      <c r="B2" s="63" t="s">
        <v>91</v>
      </c>
      <c r="C2" s="64" t="s">
        <v>95</v>
      </c>
      <c r="D2" s="57" t="s">
        <v>135</v>
      </c>
      <c r="E2" s="19" t="s">
        <v>171</v>
      </c>
    </row>
    <row r="3" spans="1:5" ht="30" x14ac:dyDescent="0.25">
      <c r="A3" s="6" t="s">
        <v>131</v>
      </c>
      <c r="B3" s="17" t="s">
        <v>141</v>
      </c>
      <c r="C3" s="8" t="str">
        <f>"&lt;Start&gt;" &amp; TEXT($J$19, "yyyy-mm-dd") &amp;"&lt;/Start&gt;&lt;End&gt;"&amp; TEXT( $J$15,"yyyy-mm-dd") &amp;"&lt;/End&gt;"</f>
        <v>&lt;Start&gt;1900-01-00&lt;/Start&gt;&lt;End&gt;1900-01-00&lt;/End&gt;</v>
      </c>
      <c r="D3" s="19" t="s">
        <v>171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E229"/>
  <sheetViews>
    <sheetView tabSelected="1" topLeftCell="A203" workbookViewId="0">
      <selection activeCell="A222" sqref="A222"/>
    </sheetView>
  </sheetViews>
  <sheetFormatPr defaultRowHeight="15" x14ac:dyDescent="0.25"/>
  <cols>
    <col min="1" max="1" width="4.5703125" customWidth="1"/>
    <col min="2" max="2" width="19.5703125" customWidth="1"/>
    <col min="3" max="3" width="33.5703125" customWidth="1"/>
    <col min="4" max="4" width="20.140625" style="58" customWidth="1"/>
    <col min="5" max="5" width="26.28515625" style="58" customWidth="1"/>
  </cols>
  <sheetData>
    <row r="1" spans="1:5" x14ac:dyDescent="0.25">
      <c r="A1" t="s">
        <v>172</v>
      </c>
      <c r="B1" t="s">
        <v>173</v>
      </c>
      <c r="C1" t="s">
        <v>175</v>
      </c>
      <c r="D1" s="58" t="s">
        <v>174</v>
      </c>
      <c r="E1" s="58" t="s">
        <v>178</v>
      </c>
    </row>
    <row r="2" spans="1:5" x14ac:dyDescent="0.25">
      <c r="A2">
        <v>1</v>
      </c>
      <c r="B2" s="67">
        <v>42887.879479166666</v>
      </c>
      <c r="C2" t="s">
        <v>179</v>
      </c>
      <c r="D2" s="58" t="s">
        <v>180</v>
      </c>
      <c r="E2" s="58" t="s">
        <v>180</v>
      </c>
    </row>
    <row r="3" spans="1:5" x14ac:dyDescent="0.25">
      <c r="A3">
        <v>2</v>
      </c>
      <c r="B3" s="67">
        <v>42887.88422453704</v>
      </c>
      <c r="C3" t="s">
        <v>181</v>
      </c>
      <c r="D3" s="58" t="s">
        <v>182</v>
      </c>
      <c r="E3" s="58" t="s">
        <v>183</v>
      </c>
    </row>
    <row r="4" spans="1:5" x14ac:dyDescent="0.25">
      <c r="A4">
        <v>3</v>
      </c>
      <c r="B4" s="67">
        <v>42887.884814814817</v>
      </c>
      <c r="C4" t="s">
        <v>181</v>
      </c>
      <c r="D4" s="58" t="s">
        <v>182</v>
      </c>
      <c r="E4" s="58" t="s">
        <v>183</v>
      </c>
    </row>
    <row r="5" spans="1:5" x14ac:dyDescent="0.25">
      <c r="A5">
        <v>4</v>
      </c>
      <c r="B5" s="67">
        <v>42887.884965277779</v>
      </c>
      <c r="C5" t="s">
        <v>181</v>
      </c>
      <c r="D5" s="58" t="s">
        <v>182</v>
      </c>
      <c r="E5" s="58" t="s">
        <v>183</v>
      </c>
    </row>
    <row r="6" spans="1:5" x14ac:dyDescent="0.25">
      <c r="A6">
        <v>5</v>
      </c>
      <c r="B6" s="67">
        <v>42887.885011574072</v>
      </c>
      <c r="C6" t="s">
        <v>181</v>
      </c>
      <c r="D6" s="58" t="s">
        <v>182</v>
      </c>
      <c r="E6" s="58" t="s">
        <v>183</v>
      </c>
    </row>
    <row r="7" spans="1:5" x14ac:dyDescent="0.25">
      <c r="A7">
        <v>6</v>
      </c>
      <c r="B7" s="67">
        <v>42887.885567129626</v>
      </c>
      <c r="C7" t="s">
        <v>184</v>
      </c>
      <c r="D7" s="58" t="s">
        <v>182</v>
      </c>
      <c r="E7" s="58" t="s">
        <v>185</v>
      </c>
    </row>
    <row r="8" spans="1:5" x14ac:dyDescent="0.25">
      <c r="A8">
        <v>7</v>
      </c>
      <c r="B8" s="67">
        <v>42887.885567129626</v>
      </c>
      <c r="C8" t="s">
        <v>186</v>
      </c>
      <c r="D8" s="58" t="s">
        <v>187</v>
      </c>
      <c r="E8" s="58" t="s">
        <v>187</v>
      </c>
    </row>
    <row r="9" spans="1:5" x14ac:dyDescent="0.25">
      <c r="A9">
        <v>8</v>
      </c>
      <c r="B9" s="67">
        <v>42887.886400462965</v>
      </c>
      <c r="C9" t="s">
        <v>181</v>
      </c>
      <c r="D9" s="58" t="s">
        <v>182</v>
      </c>
      <c r="E9" s="58" t="s">
        <v>183</v>
      </c>
    </row>
    <row r="10" spans="1:5" x14ac:dyDescent="0.25">
      <c r="A10">
        <v>9</v>
      </c>
      <c r="B10" s="67">
        <v>42887.887349537035</v>
      </c>
      <c r="C10" t="s">
        <v>184</v>
      </c>
      <c r="D10" s="58" t="s">
        <v>182</v>
      </c>
      <c r="E10" s="58" t="s">
        <v>185</v>
      </c>
    </row>
    <row r="11" spans="1:5" x14ac:dyDescent="0.25">
      <c r="A11">
        <v>10</v>
      </c>
      <c r="B11" s="67">
        <v>42887.887349537035</v>
      </c>
      <c r="C11" t="s">
        <v>186</v>
      </c>
      <c r="D11" s="58" t="s">
        <v>187</v>
      </c>
      <c r="E11" s="58" t="s">
        <v>187</v>
      </c>
    </row>
    <row r="12" spans="1:5" x14ac:dyDescent="0.25">
      <c r="A12">
        <v>11</v>
      </c>
      <c r="B12" s="67">
        <v>42887.88858796296</v>
      </c>
      <c r="C12" t="s">
        <v>181</v>
      </c>
      <c r="D12" s="58" t="s">
        <v>182</v>
      </c>
      <c r="E12" s="58" t="s">
        <v>183</v>
      </c>
    </row>
    <row r="13" spans="1:5" x14ac:dyDescent="0.25">
      <c r="A13">
        <v>12</v>
      </c>
      <c r="B13" s="67">
        <v>42887.888796296298</v>
      </c>
      <c r="C13" t="s">
        <v>184</v>
      </c>
      <c r="D13" s="58" t="s">
        <v>182</v>
      </c>
      <c r="E13" s="58" t="s">
        <v>185</v>
      </c>
    </row>
    <row r="14" spans="1:5" x14ac:dyDescent="0.25">
      <c r="A14">
        <v>13</v>
      </c>
      <c r="B14" s="67">
        <v>42887.888796296298</v>
      </c>
      <c r="C14" t="s">
        <v>186</v>
      </c>
      <c r="D14" s="58" t="s">
        <v>187</v>
      </c>
      <c r="E14" s="58" t="s">
        <v>187</v>
      </c>
    </row>
    <row r="15" spans="1:5" x14ac:dyDescent="0.25">
      <c r="A15">
        <v>14</v>
      </c>
      <c r="B15" s="67">
        <v>42887.889675925922</v>
      </c>
      <c r="C15" t="s">
        <v>181</v>
      </c>
      <c r="D15" s="58" t="s">
        <v>182</v>
      </c>
      <c r="E15" s="58" t="s">
        <v>183</v>
      </c>
    </row>
    <row r="16" spans="1:5" x14ac:dyDescent="0.25">
      <c r="A16">
        <v>15</v>
      </c>
      <c r="B16" s="67">
        <v>42917.690532407411</v>
      </c>
      <c r="C16" t="s">
        <v>184</v>
      </c>
      <c r="D16" s="58" t="s">
        <v>182</v>
      </c>
      <c r="E16" s="58" t="s">
        <v>188</v>
      </c>
    </row>
    <row r="17" spans="1:5" x14ac:dyDescent="0.25">
      <c r="A17">
        <v>16</v>
      </c>
      <c r="B17" s="67">
        <v>42917.69054398148</v>
      </c>
      <c r="C17" t="s">
        <v>184</v>
      </c>
      <c r="D17" s="58" t="s">
        <v>182</v>
      </c>
      <c r="E17" s="58" t="s">
        <v>189</v>
      </c>
    </row>
    <row r="18" spans="1:5" x14ac:dyDescent="0.25">
      <c r="A18">
        <v>17</v>
      </c>
      <c r="B18" s="67">
        <v>42917.691990740743</v>
      </c>
      <c r="C18" t="s">
        <v>181</v>
      </c>
      <c r="D18" s="58" t="s">
        <v>182</v>
      </c>
      <c r="E18" s="58" t="s">
        <v>183</v>
      </c>
    </row>
    <row r="19" spans="1:5" x14ac:dyDescent="0.25">
      <c r="A19">
        <v>18</v>
      </c>
      <c r="B19" s="67">
        <v>42917.702187499999</v>
      </c>
      <c r="C19" t="s">
        <v>181</v>
      </c>
      <c r="D19" s="58" t="s">
        <v>182</v>
      </c>
      <c r="E19" s="58" t="s">
        <v>183</v>
      </c>
    </row>
    <row r="20" spans="1:5" x14ac:dyDescent="0.25">
      <c r="A20">
        <v>19</v>
      </c>
      <c r="B20" s="67">
        <v>42917.703414351854</v>
      </c>
      <c r="C20" t="s">
        <v>181</v>
      </c>
      <c r="D20" s="58" t="s">
        <v>182</v>
      </c>
      <c r="E20" s="58" t="s">
        <v>183</v>
      </c>
    </row>
    <row r="21" spans="1:5" x14ac:dyDescent="0.25">
      <c r="A21">
        <v>20</v>
      </c>
      <c r="B21" s="67">
        <v>42917.716898148145</v>
      </c>
      <c r="C21" t="s">
        <v>181</v>
      </c>
      <c r="D21" s="58" t="s">
        <v>182</v>
      </c>
      <c r="E21" s="58" t="s">
        <v>183</v>
      </c>
    </row>
    <row r="22" spans="1:5" x14ac:dyDescent="0.25">
      <c r="A22">
        <v>21</v>
      </c>
      <c r="B22" s="67">
        <v>42917.725578703707</v>
      </c>
      <c r="C22" t="s">
        <v>181</v>
      </c>
      <c r="D22" s="58" t="s">
        <v>182</v>
      </c>
      <c r="E22" s="58" t="s">
        <v>183</v>
      </c>
    </row>
    <row r="23" spans="1:5" x14ac:dyDescent="0.25">
      <c r="A23">
        <v>22</v>
      </c>
      <c r="B23" s="67">
        <v>42917.726006944446</v>
      </c>
      <c r="C23" t="s">
        <v>181</v>
      </c>
      <c r="D23" s="58" t="s">
        <v>182</v>
      </c>
      <c r="E23" s="58" t="s">
        <v>183</v>
      </c>
    </row>
    <row r="24" spans="1:5" x14ac:dyDescent="0.25">
      <c r="A24">
        <v>23</v>
      </c>
      <c r="B24" s="67">
        <v>42917.727037037039</v>
      </c>
      <c r="C24" t="s">
        <v>181</v>
      </c>
      <c r="D24" s="58" t="s">
        <v>182</v>
      </c>
      <c r="E24" s="58" t="s">
        <v>183</v>
      </c>
    </row>
    <row r="25" spans="1:5" x14ac:dyDescent="0.25">
      <c r="A25">
        <v>24</v>
      </c>
      <c r="B25" s="67">
        <v>42917.727696759262</v>
      </c>
      <c r="C25" t="s">
        <v>181</v>
      </c>
      <c r="D25" s="58" t="s">
        <v>182</v>
      </c>
      <c r="E25" s="58" t="s">
        <v>183</v>
      </c>
    </row>
    <row r="26" spans="1:5" x14ac:dyDescent="0.25">
      <c r="A26">
        <v>25</v>
      </c>
      <c r="B26" s="67">
        <v>42917.727743055555</v>
      </c>
      <c r="C26" t="s">
        <v>181</v>
      </c>
      <c r="D26" s="58" t="s">
        <v>182</v>
      </c>
      <c r="E26" s="58" t="s">
        <v>183</v>
      </c>
    </row>
    <row r="27" spans="1:5" x14ac:dyDescent="0.25">
      <c r="A27">
        <v>26</v>
      </c>
      <c r="B27" s="67">
        <v>42917.728067129632</v>
      </c>
      <c r="C27" t="s">
        <v>184</v>
      </c>
      <c r="D27" s="58" t="s">
        <v>182</v>
      </c>
      <c r="E27" s="58" t="s">
        <v>185</v>
      </c>
    </row>
    <row r="28" spans="1:5" x14ac:dyDescent="0.25">
      <c r="A28">
        <v>27</v>
      </c>
      <c r="B28" s="67">
        <v>42917.728067129632</v>
      </c>
      <c r="C28" t="s">
        <v>186</v>
      </c>
      <c r="D28" s="58" t="s">
        <v>187</v>
      </c>
      <c r="E28" s="58" t="s">
        <v>187</v>
      </c>
    </row>
    <row r="29" spans="1:5" x14ac:dyDescent="0.25">
      <c r="A29">
        <v>28</v>
      </c>
      <c r="B29" s="67">
        <v>42917.728541666664</v>
      </c>
      <c r="C29" t="s">
        <v>181</v>
      </c>
      <c r="D29" s="58" t="s">
        <v>182</v>
      </c>
      <c r="E29" s="58" t="s">
        <v>183</v>
      </c>
    </row>
    <row r="30" spans="1:5" x14ac:dyDescent="0.25">
      <c r="A30">
        <v>29</v>
      </c>
      <c r="B30" s="67">
        <v>42948.680659722224</v>
      </c>
      <c r="C30" t="s">
        <v>190</v>
      </c>
      <c r="D30" s="58" t="s">
        <v>182</v>
      </c>
      <c r="E30" s="58" t="s">
        <v>191</v>
      </c>
    </row>
    <row r="31" spans="1:5" x14ac:dyDescent="0.25">
      <c r="A31">
        <v>30</v>
      </c>
      <c r="B31" s="67">
        <v>42948.680659722224</v>
      </c>
      <c r="C31" t="s">
        <v>192</v>
      </c>
      <c r="D31" s="58" t="s">
        <v>182</v>
      </c>
      <c r="E31" s="58" t="s">
        <v>191</v>
      </c>
    </row>
    <row r="32" spans="1:5" x14ac:dyDescent="0.25">
      <c r="A32">
        <v>31</v>
      </c>
      <c r="B32" s="67">
        <v>42948.680659722224</v>
      </c>
      <c r="C32" t="s">
        <v>184</v>
      </c>
      <c r="D32" s="58" t="s">
        <v>182</v>
      </c>
      <c r="E32" s="58" t="s">
        <v>188</v>
      </c>
    </row>
    <row r="33" spans="1:5" x14ac:dyDescent="0.25">
      <c r="A33">
        <v>32</v>
      </c>
      <c r="B33" s="67">
        <v>42948.680659722224</v>
      </c>
      <c r="C33" t="s">
        <v>184</v>
      </c>
      <c r="D33" s="58" t="s">
        <v>182</v>
      </c>
      <c r="E33" s="58" t="s">
        <v>189</v>
      </c>
    </row>
    <row r="34" spans="1:5" x14ac:dyDescent="0.25">
      <c r="A34">
        <v>33</v>
      </c>
      <c r="B34" s="67">
        <v>42948.681435185186</v>
      </c>
      <c r="C34" t="s">
        <v>193</v>
      </c>
      <c r="D34" s="58" t="s">
        <v>182</v>
      </c>
      <c r="E34" s="58" t="s">
        <v>191</v>
      </c>
    </row>
    <row r="35" spans="1:5" x14ac:dyDescent="0.25">
      <c r="A35">
        <v>34</v>
      </c>
      <c r="B35" s="67">
        <v>42948.681435185186</v>
      </c>
      <c r="C35" t="s">
        <v>194</v>
      </c>
      <c r="D35" s="58" t="s">
        <v>182</v>
      </c>
      <c r="E35" s="58" t="s">
        <v>191</v>
      </c>
    </row>
    <row r="36" spans="1:5" x14ac:dyDescent="0.25">
      <c r="A36">
        <v>35</v>
      </c>
      <c r="B36" s="67">
        <v>42948.681446759256</v>
      </c>
      <c r="C36" t="s">
        <v>181</v>
      </c>
      <c r="D36" s="58" t="s">
        <v>182</v>
      </c>
      <c r="E36" s="58" t="s">
        <v>183</v>
      </c>
    </row>
    <row r="37" spans="1:5" x14ac:dyDescent="0.25">
      <c r="A37">
        <v>36</v>
      </c>
      <c r="B37" s="67">
        <v>42948.681446759256</v>
      </c>
      <c r="C37" t="s">
        <v>194</v>
      </c>
      <c r="D37" s="58" t="s">
        <v>182</v>
      </c>
      <c r="E37" s="58" t="s">
        <v>195</v>
      </c>
    </row>
    <row r="38" spans="1:5" x14ac:dyDescent="0.25">
      <c r="A38">
        <v>37</v>
      </c>
      <c r="B38" s="67">
        <v>42948.681458333333</v>
      </c>
      <c r="C38" t="s">
        <v>193</v>
      </c>
      <c r="D38" s="58" t="s">
        <v>182</v>
      </c>
      <c r="E38" s="58" t="s">
        <v>195</v>
      </c>
    </row>
    <row r="39" spans="1:5" x14ac:dyDescent="0.25">
      <c r="A39">
        <v>38</v>
      </c>
      <c r="B39" s="67">
        <v>42948.681689814817</v>
      </c>
      <c r="C39" t="s">
        <v>196</v>
      </c>
      <c r="D39" s="58" t="s">
        <v>182</v>
      </c>
      <c r="E39" s="58" t="s">
        <v>191</v>
      </c>
    </row>
    <row r="40" spans="1:5" x14ac:dyDescent="0.25">
      <c r="A40">
        <v>39</v>
      </c>
      <c r="B40" s="67">
        <v>42948.681689814817</v>
      </c>
      <c r="C40" t="s">
        <v>197</v>
      </c>
      <c r="D40" s="58" t="s">
        <v>182</v>
      </c>
      <c r="E40" s="58" t="s">
        <v>195</v>
      </c>
    </row>
    <row r="41" spans="1:5" x14ac:dyDescent="0.25">
      <c r="A41">
        <v>40</v>
      </c>
      <c r="B41" s="67">
        <v>42948.68172453704</v>
      </c>
      <c r="C41" t="s">
        <v>193</v>
      </c>
      <c r="D41" s="58" t="s">
        <v>182</v>
      </c>
      <c r="E41" s="58" t="s">
        <v>191</v>
      </c>
    </row>
    <row r="42" spans="1:5" x14ac:dyDescent="0.25">
      <c r="A42">
        <v>41</v>
      </c>
      <c r="B42" s="67">
        <v>42948.68172453704</v>
      </c>
      <c r="C42" t="s">
        <v>194</v>
      </c>
      <c r="D42" s="58" t="s">
        <v>182</v>
      </c>
      <c r="E42" s="58" t="s">
        <v>191</v>
      </c>
    </row>
    <row r="43" spans="1:5" x14ac:dyDescent="0.25">
      <c r="A43">
        <v>42</v>
      </c>
      <c r="B43" s="67">
        <v>42948.68172453704</v>
      </c>
      <c r="C43" t="s">
        <v>181</v>
      </c>
      <c r="D43" s="58" t="s">
        <v>182</v>
      </c>
      <c r="E43" s="58" t="s">
        <v>183</v>
      </c>
    </row>
    <row r="44" spans="1:5" x14ac:dyDescent="0.25">
      <c r="A44">
        <v>43</v>
      </c>
      <c r="B44" s="67">
        <v>42948.68172453704</v>
      </c>
      <c r="C44" t="s">
        <v>194</v>
      </c>
      <c r="D44" s="58" t="s">
        <v>182</v>
      </c>
      <c r="E44" s="58" t="s">
        <v>195</v>
      </c>
    </row>
    <row r="45" spans="1:5" x14ac:dyDescent="0.25">
      <c r="A45">
        <v>44</v>
      </c>
      <c r="B45" s="67">
        <v>42948.68172453704</v>
      </c>
      <c r="C45" t="s">
        <v>193</v>
      </c>
      <c r="D45" s="58" t="s">
        <v>182</v>
      </c>
      <c r="E45" s="58" t="s">
        <v>195</v>
      </c>
    </row>
    <row r="46" spans="1:5" x14ac:dyDescent="0.25">
      <c r="A46">
        <v>45</v>
      </c>
      <c r="B46" s="67">
        <v>42948.681932870371</v>
      </c>
      <c r="C46" t="s">
        <v>198</v>
      </c>
      <c r="D46" s="58" t="s">
        <v>182</v>
      </c>
      <c r="E46" s="58" t="s">
        <v>191</v>
      </c>
    </row>
    <row r="47" spans="1:5" x14ac:dyDescent="0.25">
      <c r="A47">
        <v>46</v>
      </c>
      <c r="B47" s="67">
        <v>42948.681944444441</v>
      </c>
      <c r="C47" t="s">
        <v>192</v>
      </c>
      <c r="D47" s="58" t="s">
        <v>182</v>
      </c>
      <c r="E47" s="58" t="s">
        <v>191</v>
      </c>
    </row>
    <row r="48" spans="1:5" x14ac:dyDescent="0.25">
      <c r="A48">
        <v>47</v>
      </c>
      <c r="B48" s="67">
        <v>42948.681944444441</v>
      </c>
      <c r="C48" s="53" t="s">
        <v>184</v>
      </c>
      <c r="D48" s="68" t="s">
        <v>182</v>
      </c>
      <c r="E48" s="68" t="s">
        <v>185</v>
      </c>
    </row>
    <row r="49" spans="1:5" x14ac:dyDescent="0.25">
      <c r="A49">
        <v>48</v>
      </c>
      <c r="B49" s="67">
        <v>42948.681944444441</v>
      </c>
      <c r="C49" s="53" t="s">
        <v>186</v>
      </c>
      <c r="D49" s="68" t="s">
        <v>187</v>
      </c>
      <c r="E49" s="68" t="s">
        <v>187</v>
      </c>
    </row>
    <row r="50" spans="1:5" x14ac:dyDescent="0.25">
      <c r="A50">
        <v>49</v>
      </c>
      <c r="B50" s="67">
        <v>42948.681944444441</v>
      </c>
      <c r="C50" t="s">
        <v>192</v>
      </c>
      <c r="D50" s="58" t="s">
        <v>182</v>
      </c>
      <c r="E50" s="58" t="s">
        <v>191</v>
      </c>
    </row>
    <row r="51" spans="1:5" x14ac:dyDescent="0.25">
      <c r="A51">
        <v>50</v>
      </c>
      <c r="B51" s="67">
        <v>42948.681944444441</v>
      </c>
      <c r="C51" t="s">
        <v>190</v>
      </c>
      <c r="D51" s="58" t="s">
        <v>182</v>
      </c>
      <c r="E51" s="58" t="s">
        <v>195</v>
      </c>
    </row>
    <row r="52" spans="1:5" x14ac:dyDescent="0.25">
      <c r="A52">
        <v>51</v>
      </c>
      <c r="B52" s="67">
        <v>42948.712326388886</v>
      </c>
      <c r="C52" t="s">
        <v>193</v>
      </c>
      <c r="D52" s="58" t="s">
        <v>182</v>
      </c>
      <c r="E52" s="58" t="s">
        <v>191</v>
      </c>
    </row>
    <row r="53" spans="1:5" x14ac:dyDescent="0.25">
      <c r="A53">
        <v>52</v>
      </c>
      <c r="B53" s="67">
        <v>42948.712326388886</v>
      </c>
      <c r="C53" t="s">
        <v>194</v>
      </c>
      <c r="D53" s="58" t="s">
        <v>182</v>
      </c>
      <c r="E53" s="58" t="s">
        <v>191</v>
      </c>
    </row>
    <row r="54" spans="1:5" x14ac:dyDescent="0.25">
      <c r="A54">
        <v>53</v>
      </c>
      <c r="B54" s="67">
        <v>42948.712337962963</v>
      </c>
      <c r="C54" t="s">
        <v>181</v>
      </c>
      <c r="D54" s="58" t="s">
        <v>182</v>
      </c>
      <c r="E54" s="58" t="s">
        <v>200</v>
      </c>
    </row>
    <row r="55" spans="1:5" x14ac:dyDescent="0.25">
      <c r="A55">
        <v>54</v>
      </c>
      <c r="B55" s="67">
        <v>42948.712337962963</v>
      </c>
      <c r="C55" t="s">
        <v>194</v>
      </c>
      <c r="D55" s="58" t="s">
        <v>182</v>
      </c>
      <c r="E55" s="58" t="s">
        <v>195</v>
      </c>
    </row>
    <row r="56" spans="1:5" x14ac:dyDescent="0.25">
      <c r="A56">
        <v>55</v>
      </c>
      <c r="B56" s="67">
        <v>42948.712337962963</v>
      </c>
      <c r="C56" t="s">
        <v>193</v>
      </c>
      <c r="D56" s="58" t="s">
        <v>182</v>
      </c>
      <c r="E56" s="58" t="s">
        <v>195</v>
      </c>
    </row>
    <row r="57" spans="1:5" x14ac:dyDescent="0.25">
      <c r="A57">
        <v>56</v>
      </c>
      <c r="B57" s="67">
        <v>42948.716516203705</v>
      </c>
      <c r="C57" t="s">
        <v>193</v>
      </c>
      <c r="D57" s="58" t="s">
        <v>182</v>
      </c>
      <c r="E57" s="58" t="s">
        <v>191</v>
      </c>
    </row>
    <row r="58" spans="1:5" x14ac:dyDescent="0.25">
      <c r="A58">
        <v>57</v>
      </c>
      <c r="B58" s="67">
        <v>42948.716516203705</v>
      </c>
      <c r="C58" t="s">
        <v>194</v>
      </c>
      <c r="D58" s="58" t="s">
        <v>182</v>
      </c>
      <c r="E58" s="58" t="s">
        <v>191</v>
      </c>
    </row>
    <row r="59" spans="1:5" x14ac:dyDescent="0.25">
      <c r="A59">
        <v>58</v>
      </c>
      <c r="B59" s="67">
        <v>42948.716516203705</v>
      </c>
      <c r="C59" t="s">
        <v>181</v>
      </c>
      <c r="D59" s="58" t="s">
        <v>182</v>
      </c>
      <c r="E59" s="58" t="s">
        <v>200</v>
      </c>
    </row>
    <row r="60" spans="1:5" x14ac:dyDescent="0.25">
      <c r="A60">
        <v>59</v>
      </c>
      <c r="B60" s="67">
        <v>42948.716516203705</v>
      </c>
      <c r="C60" t="s">
        <v>194</v>
      </c>
      <c r="D60" s="58" t="s">
        <v>182</v>
      </c>
      <c r="E60" s="58" t="s">
        <v>195</v>
      </c>
    </row>
    <row r="61" spans="1:5" x14ac:dyDescent="0.25">
      <c r="A61">
        <v>60</v>
      </c>
      <c r="B61" s="67">
        <v>42948.716516203705</v>
      </c>
      <c r="C61" t="s">
        <v>193</v>
      </c>
      <c r="D61" s="58" t="s">
        <v>182</v>
      </c>
      <c r="E61" s="58" t="s">
        <v>195</v>
      </c>
    </row>
    <row r="62" spans="1:5" x14ac:dyDescent="0.25">
      <c r="A62">
        <v>61</v>
      </c>
      <c r="B62" s="67">
        <v>42948.722731481481</v>
      </c>
      <c r="C62" t="s">
        <v>193</v>
      </c>
      <c r="D62" s="58" t="s">
        <v>182</v>
      </c>
      <c r="E62" s="58" t="s">
        <v>191</v>
      </c>
    </row>
    <row r="63" spans="1:5" x14ac:dyDescent="0.25">
      <c r="A63">
        <v>62</v>
      </c>
      <c r="B63" s="67">
        <v>42948.722731481481</v>
      </c>
      <c r="C63" t="s">
        <v>194</v>
      </c>
      <c r="D63" s="58" t="s">
        <v>182</v>
      </c>
      <c r="E63" s="58" t="s">
        <v>191</v>
      </c>
    </row>
    <row r="64" spans="1:5" x14ac:dyDescent="0.25">
      <c r="A64">
        <v>63</v>
      </c>
      <c r="B64" s="67">
        <v>42948.722731481481</v>
      </c>
      <c r="C64" t="s">
        <v>181</v>
      </c>
      <c r="D64" s="58" t="s">
        <v>182</v>
      </c>
      <c r="E64" s="58" t="s">
        <v>200</v>
      </c>
    </row>
    <row r="65" spans="1:5" x14ac:dyDescent="0.25">
      <c r="A65">
        <v>64</v>
      </c>
      <c r="B65" s="67">
        <v>42948.722731481481</v>
      </c>
      <c r="C65" t="s">
        <v>194</v>
      </c>
      <c r="D65" s="58" t="s">
        <v>182</v>
      </c>
      <c r="E65" s="58" t="s">
        <v>195</v>
      </c>
    </row>
    <row r="66" spans="1:5" x14ac:dyDescent="0.25">
      <c r="A66">
        <v>65</v>
      </c>
      <c r="B66" s="67">
        <v>42948.722731481481</v>
      </c>
      <c r="C66" t="s">
        <v>193</v>
      </c>
      <c r="D66" s="58" t="s">
        <v>182</v>
      </c>
      <c r="E66" s="58" t="s">
        <v>195</v>
      </c>
    </row>
    <row r="67" spans="1:5" x14ac:dyDescent="0.25">
      <c r="A67">
        <v>66</v>
      </c>
      <c r="B67" s="67">
        <v>42948.72284722222</v>
      </c>
      <c r="C67" t="s">
        <v>193</v>
      </c>
      <c r="D67" s="58" t="s">
        <v>182</v>
      </c>
      <c r="E67" s="58" t="s">
        <v>191</v>
      </c>
    </row>
    <row r="68" spans="1:5" x14ac:dyDescent="0.25">
      <c r="A68">
        <v>67</v>
      </c>
      <c r="B68" s="67">
        <v>42948.72284722222</v>
      </c>
      <c r="C68" t="s">
        <v>194</v>
      </c>
      <c r="D68" s="58" t="s">
        <v>182</v>
      </c>
      <c r="E68" s="58" t="s">
        <v>191</v>
      </c>
    </row>
    <row r="69" spans="1:5" x14ac:dyDescent="0.25">
      <c r="A69">
        <v>68</v>
      </c>
      <c r="B69" s="67">
        <v>42948.72284722222</v>
      </c>
      <c r="C69" t="s">
        <v>181</v>
      </c>
      <c r="D69" s="58" t="s">
        <v>182</v>
      </c>
      <c r="E69" s="58" t="s">
        <v>200</v>
      </c>
    </row>
    <row r="70" spans="1:5" x14ac:dyDescent="0.25">
      <c r="A70">
        <v>69</v>
      </c>
      <c r="B70" s="67">
        <v>42948.72284722222</v>
      </c>
      <c r="C70" t="s">
        <v>194</v>
      </c>
      <c r="D70" s="58" t="s">
        <v>182</v>
      </c>
      <c r="E70" s="58" t="s">
        <v>195</v>
      </c>
    </row>
    <row r="71" spans="1:5" x14ac:dyDescent="0.25">
      <c r="A71">
        <v>70</v>
      </c>
      <c r="B71" s="67">
        <v>42948.72284722222</v>
      </c>
      <c r="C71" t="s">
        <v>193</v>
      </c>
      <c r="D71" s="58" t="s">
        <v>182</v>
      </c>
      <c r="E71" s="58" t="s">
        <v>195</v>
      </c>
    </row>
    <row r="72" spans="1:5" x14ac:dyDescent="0.25">
      <c r="A72">
        <v>71</v>
      </c>
      <c r="B72" s="67">
        <v>42948.722962962966</v>
      </c>
      <c r="C72" t="s">
        <v>196</v>
      </c>
      <c r="D72" s="58" t="s">
        <v>182</v>
      </c>
      <c r="E72" s="58" t="s">
        <v>191</v>
      </c>
    </row>
    <row r="73" spans="1:5" x14ac:dyDescent="0.25">
      <c r="A73">
        <v>72</v>
      </c>
      <c r="B73" s="67">
        <v>42948.722962962966</v>
      </c>
      <c r="C73" t="s">
        <v>197</v>
      </c>
      <c r="D73" s="58" t="s">
        <v>182</v>
      </c>
      <c r="E73" s="58" t="s">
        <v>195</v>
      </c>
    </row>
    <row r="74" spans="1:5" x14ac:dyDescent="0.25">
      <c r="A74">
        <v>73</v>
      </c>
      <c r="B74" s="67">
        <v>42948.722986111112</v>
      </c>
      <c r="C74" t="s">
        <v>193</v>
      </c>
      <c r="D74" s="58" t="s">
        <v>182</v>
      </c>
      <c r="E74" s="58" t="s">
        <v>191</v>
      </c>
    </row>
    <row r="75" spans="1:5" x14ac:dyDescent="0.25">
      <c r="A75">
        <v>74</v>
      </c>
      <c r="B75" s="67">
        <v>42948.722986111112</v>
      </c>
      <c r="C75" t="s">
        <v>194</v>
      </c>
      <c r="D75" s="58" t="s">
        <v>182</v>
      </c>
      <c r="E75" s="58" t="s">
        <v>191</v>
      </c>
    </row>
    <row r="76" spans="1:5" x14ac:dyDescent="0.25">
      <c r="A76">
        <v>75</v>
      </c>
      <c r="B76" s="67">
        <v>42948.722986111112</v>
      </c>
      <c r="C76" t="s">
        <v>181</v>
      </c>
      <c r="D76" s="58" t="s">
        <v>182</v>
      </c>
      <c r="E76" s="58" t="s">
        <v>200</v>
      </c>
    </row>
    <row r="77" spans="1:5" x14ac:dyDescent="0.25">
      <c r="A77">
        <v>76</v>
      </c>
      <c r="B77" s="67">
        <v>42948.722986111112</v>
      </c>
      <c r="C77" t="s">
        <v>194</v>
      </c>
      <c r="D77" s="58" t="s">
        <v>182</v>
      </c>
      <c r="E77" s="58" t="s">
        <v>195</v>
      </c>
    </row>
    <row r="78" spans="1:5" x14ac:dyDescent="0.25">
      <c r="A78">
        <v>77</v>
      </c>
      <c r="B78" s="67">
        <v>42948.722986111112</v>
      </c>
      <c r="C78" t="s">
        <v>193</v>
      </c>
      <c r="D78" s="58" t="s">
        <v>182</v>
      </c>
      <c r="E78" s="58" t="s">
        <v>195</v>
      </c>
    </row>
    <row r="79" spans="1:5" x14ac:dyDescent="0.25">
      <c r="A79">
        <v>78</v>
      </c>
      <c r="B79" s="67">
        <v>42948.723217592589</v>
      </c>
      <c r="C79" t="s">
        <v>198</v>
      </c>
      <c r="D79" s="58" t="s">
        <v>182</v>
      </c>
      <c r="E79" s="58" t="s">
        <v>191</v>
      </c>
    </row>
    <row r="80" spans="1:5" x14ac:dyDescent="0.25">
      <c r="A80">
        <v>79</v>
      </c>
      <c r="B80" s="67">
        <v>42948.723217592589</v>
      </c>
      <c r="C80" t="s">
        <v>192</v>
      </c>
      <c r="D80" s="58" t="s">
        <v>182</v>
      </c>
      <c r="E80" s="58" t="s">
        <v>191</v>
      </c>
    </row>
    <row r="81" spans="1:5" x14ac:dyDescent="0.25">
      <c r="A81">
        <v>80</v>
      </c>
      <c r="B81" s="67">
        <v>42948.723217592589</v>
      </c>
      <c r="C81" t="s">
        <v>184</v>
      </c>
      <c r="D81" s="58" t="s">
        <v>182</v>
      </c>
      <c r="E81" s="58" t="s">
        <v>185</v>
      </c>
    </row>
    <row r="82" spans="1:5" x14ac:dyDescent="0.25">
      <c r="A82">
        <v>81</v>
      </c>
      <c r="B82" s="67">
        <v>42948.723217592589</v>
      </c>
      <c r="C82" t="s">
        <v>186</v>
      </c>
      <c r="D82" s="58" t="s">
        <v>187</v>
      </c>
      <c r="E82" s="58" t="s">
        <v>187</v>
      </c>
    </row>
    <row r="83" spans="1:5" x14ac:dyDescent="0.25">
      <c r="A83">
        <v>82</v>
      </c>
      <c r="B83" s="67">
        <v>42948.723217592589</v>
      </c>
      <c r="C83" t="s">
        <v>192</v>
      </c>
      <c r="D83" s="58" t="s">
        <v>182</v>
      </c>
      <c r="E83" s="58" t="s">
        <v>191</v>
      </c>
    </row>
    <row r="84" spans="1:5" x14ac:dyDescent="0.25">
      <c r="A84">
        <v>83</v>
      </c>
      <c r="B84" s="67">
        <v>42948.723217592589</v>
      </c>
      <c r="C84" t="s">
        <v>190</v>
      </c>
      <c r="D84" s="58" t="s">
        <v>182</v>
      </c>
      <c r="E84" s="58" t="s">
        <v>195</v>
      </c>
    </row>
    <row r="85" spans="1:5" x14ac:dyDescent="0.25">
      <c r="A85">
        <v>84</v>
      </c>
      <c r="B85" s="67">
        <v>42948.724814814814</v>
      </c>
      <c r="C85" t="s">
        <v>193</v>
      </c>
      <c r="D85" s="58" t="s">
        <v>182</v>
      </c>
      <c r="E85" s="58" t="s">
        <v>191</v>
      </c>
    </row>
    <row r="86" spans="1:5" x14ac:dyDescent="0.25">
      <c r="A86">
        <v>85</v>
      </c>
      <c r="B86" s="67">
        <v>42948.724814814814</v>
      </c>
      <c r="C86" t="s">
        <v>194</v>
      </c>
      <c r="D86" s="58" t="s">
        <v>182</v>
      </c>
      <c r="E86" s="58" t="s">
        <v>191</v>
      </c>
    </row>
    <row r="87" spans="1:5" x14ac:dyDescent="0.25">
      <c r="A87">
        <v>86</v>
      </c>
      <c r="B87" s="67">
        <v>42948.724814814814</v>
      </c>
      <c r="C87" t="s">
        <v>181</v>
      </c>
      <c r="D87" s="58" t="s">
        <v>182</v>
      </c>
      <c r="E87" s="58" t="s">
        <v>200</v>
      </c>
    </row>
    <row r="88" spans="1:5" x14ac:dyDescent="0.25">
      <c r="A88">
        <v>87</v>
      </c>
      <c r="B88" s="67">
        <v>42948.724814814814</v>
      </c>
      <c r="C88" t="s">
        <v>194</v>
      </c>
      <c r="D88" s="58" t="s">
        <v>182</v>
      </c>
      <c r="E88" s="58" t="s">
        <v>195</v>
      </c>
    </row>
    <row r="89" spans="1:5" x14ac:dyDescent="0.25">
      <c r="A89">
        <v>88</v>
      </c>
      <c r="B89" s="67">
        <v>42948.724814814814</v>
      </c>
      <c r="C89" t="s">
        <v>193</v>
      </c>
      <c r="D89" s="58" t="s">
        <v>182</v>
      </c>
      <c r="E89" s="58" t="s">
        <v>195</v>
      </c>
    </row>
    <row r="90" spans="1:5" x14ac:dyDescent="0.25">
      <c r="A90">
        <v>89</v>
      </c>
      <c r="B90" s="67">
        <v>42948.724988425929</v>
      </c>
      <c r="C90" t="s">
        <v>193</v>
      </c>
      <c r="D90" s="58" t="s">
        <v>182</v>
      </c>
      <c r="E90" s="58" t="s">
        <v>191</v>
      </c>
    </row>
    <row r="91" spans="1:5" x14ac:dyDescent="0.25">
      <c r="A91">
        <v>90</v>
      </c>
      <c r="B91" s="67">
        <v>42948.724988425929</v>
      </c>
      <c r="C91" t="s">
        <v>194</v>
      </c>
      <c r="D91" s="58" t="s">
        <v>182</v>
      </c>
      <c r="E91" s="58" t="s">
        <v>191</v>
      </c>
    </row>
    <row r="92" spans="1:5" x14ac:dyDescent="0.25">
      <c r="A92">
        <v>91</v>
      </c>
      <c r="B92" s="67">
        <v>42948.724988425929</v>
      </c>
      <c r="C92" t="s">
        <v>181</v>
      </c>
      <c r="D92" s="58" t="s">
        <v>182</v>
      </c>
      <c r="E92" s="58" t="s">
        <v>200</v>
      </c>
    </row>
    <row r="93" spans="1:5" x14ac:dyDescent="0.25">
      <c r="A93">
        <v>92</v>
      </c>
      <c r="B93" s="67">
        <v>42948.724988425929</v>
      </c>
      <c r="C93" t="s">
        <v>194</v>
      </c>
      <c r="D93" s="58" t="s">
        <v>182</v>
      </c>
      <c r="E93" s="58" t="s">
        <v>195</v>
      </c>
    </row>
    <row r="94" spans="1:5" x14ac:dyDescent="0.25">
      <c r="A94">
        <v>93</v>
      </c>
      <c r="B94" s="67">
        <v>42948.724988425929</v>
      </c>
      <c r="C94" t="s">
        <v>193</v>
      </c>
      <c r="D94" s="58" t="s">
        <v>182</v>
      </c>
      <c r="E94" s="58" t="s">
        <v>195</v>
      </c>
    </row>
    <row r="95" spans="1:5" x14ac:dyDescent="0.25">
      <c r="A95">
        <v>94</v>
      </c>
      <c r="B95" s="67">
        <v>42948.725173611114</v>
      </c>
      <c r="C95" t="s">
        <v>196</v>
      </c>
      <c r="D95" s="58" t="s">
        <v>182</v>
      </c>
      <c r="E95" s="58" t="s">
        <v>191</v>
      </c>
    </row>
    <row r="96" spans="1:5" x14ac:dyDescent="0.25">
      <c r="A96">
        <v>95</v>
      </c>
      <c r="B96" s="67">
        <v>42948.725173611114</v>
      </c>
      <c r="C96" t="s">
        <v>197</v>
      </c>
      <c r="D96" s="58" t="s">
        <v>182</v>
      </c>
      <c r="E96" s="58" t="s">
        <v>195</v>
      </c>
    </row>
    <row r="97" spans="1:5" x14ac:dyDescent="0.25">
      <c r="A97">
        <v>96</v>
      </c>
      <c r="B97" s="67">
        <v>42948.72519675926</v>
      </c>
      <c r="C97" t="s">
        <v>193</v>
      </c>
      <c r="D97" s="58" t="s">
        <v>182</v>
      </c>
      <c r="E97" s="58" t="s">
        <v>191</v>
      </c>
    </row>
    <row r="98" spans="1:5" x14ac:dyDescent="0.25">
      <c r="A98">
        <v>97</v>
      </c>
      <c r="B98" s="67">
        <v>42948.72519675926</v>
      </c>
      <c r="C98" t="s">
        <v>194</v>
      </c>
      <c r="D98" s="58" t="s">
        <v>182</v>
      </c>
      <c r="E98" s="58" t="s">
        <v>191</v>
      </c>
    </row>
    <row r="99" spans="1:5" x14ac:dyDescent="0.25">
      <c r="A99">
        <v>98</v>
      </c>
      <c r="B99" s="67">
        <v>42948.72519675926</v>
      </c>
      <c r="C99" t="s">
        <v>181</v>
      </c>
      <c r="D99" s="58" t="s">
        <v>182</v>
      </c>
      <c r="E99" s="58" t="s">
        <v>200</v>
      </c>
    </row>
    <row r="100" spans="1:5" x14ac:dyDescent="0.25">
      <c r="A100">
        <v>99</v>
      </c>
      <c r="B100" s="67">
        <v>42948.72519675926</v>
      </c>
      <c r="C100" t="s">
        <v>194</v>
      </c>
      <c r="D100" s="58" t="s">
        <v>182</v>
      </c>
      <c r="E100" s="58" t="s">
        <v>195</v>
      </c>
    </row>
    <row r="101" spans="1:5" x14ac:dyDescent="0.25">
      <c r="A101">
        <v>100</v>
      </c>
      <c r="B101" s="67">
        <v>42948.72519675926</v>
      </c>
      <c r="C101" t="s">
        <v>193</v>
      </c>
      <c r="D101" s="58" t="s">
        <v>182</v>
      </c>
      <c r="E101" s="58" t="s">
        <v>195</v>
      </c>
    </row>
    <row r="102" spans="1:5" x14ac:dyDescent="0.25">
      <c r="A102">
        <v>101</v>
      </c>
      <c r="B102" s="67">
        <v>42948.725347222222</v>
      </c>
      <c r="C102" t="s">
        <v>198</v>
      </c>
      <c r="D102" s="58" t="s">
        <v>182</v>
      </c>
      <c r="E102" s="58" t="s">
        <v>191</v>
      </c>
    </row>
    <row r="103" spans="1:5" x14ac:dyDescent="0.25">
      <c r="A103">
        <v>102</v>
      </c>
      <c r="B103" s="67">
        <v>42948.725347222222</v>
      </c>
      <c r="C103" t="s">
        <v>192</v>
      </c>
      <c r="D103" s="58" t="s">
        <v>182</v>
      </c>
      <c r="E103" s="58" t="s">
        <v>191</v>
      </c>
    </row>
    <row r="104" spans="1:5" x14ac:dyDescent="0.25">
      <c r="A104">
        <v>103</v>
      </c>
      <c r="B104" s="67">
        <v>42948.725347222222</v>
      </c>
      <c r="C104" t="s">
        <v>184</v>
      </c>
      <c r="D104" s="58" t="s">
        <v>182</v>
      </c>
      <c r="E104" s="58" t="s">
        <v>185</v>
      </c>
    </row>
    <row r="105" spans="1:5" x14ac:dyDescent="0.25">
      <c r="A105">
        <v>104</v>
      </c>
      <c r="B105" s="67">
        <v>42948.725347222222</v>
      </c>
      <c r="C105" t="s">
        <v>186</v>
      </c>
      <c r="D105" s="58" t="s">
        <v>187</v>
      </c>
      <c r="E105" s="58" t="s">
        <v>187</v>
      </c>
    </row>
    <row r="106" spans="1:5" x14ac:dyDescent="0.25">
      <c r="A106">
        <v>105</v>
      </c>
      <c r="B106" s="67">
        <v>42948.725347222222</v>
      </c>
      <c r="C106" t="s">
        <v>192</v>
      </c>
      <c r="D106" s="58" t="s">
        <v>182</v>
      </c>
      <c r="E106" s="58" t="s">
        <v>191</v>
      </c>
    </row>
    <row r="107" spans="1:5" x14ac:dyDescent="0.25">
      <c r="A107">
        <v>106</v>
      </c>
      <c r="B107" s="67">
        <v>42948.725347222222</v>
      </c>
      <c r="C107" t="s">
        <v>190</v>
      </c>
      <c r="D107" s="58" t="s">
        <v>182</v>
      </c>
      <c r="E107" s="58" t="s">
        <v>195</v>
      </c>
    </row>
    <row r="108" spans="1:5" x14ac:dyDescent="0.25">
      <c r="A108">
        <v>107</v>
      </c>
      <c r="B108" s="67">
        <v>42948.726342592592</v>
      </c>
      <c r="C108" t="s">
        <v>193</v>
      </c>
      <c r="D108" s="58" t="s">
        <v>182</v>
      </c>
      <c r="E108" s="58" t="s">
        <v>191</v>
      </c>
    </row>
    <row r="109" spans="1:5" x14ac:dyDescent="0.25">
      <c r="A109">
        <v>108</v>
      </c>
      <c r="B109" s="67">
        <v>42948.726342592592</v>
      </c>
      <c r="C109" t="s">
        <v>194</v>
      </c>
      <c r="D109" s="58" t="s">
        <v>182</v>
      </c>
      <c r="E109" s="58" t="s">
        <v>191</v>
      </c>
    </row>
    <row r="110" spans="1:5" x14ac:dyDescent="0.25">
      <c r="A110">
        <v>109</v>
      </c>
      <c r="B110" s="67">
        <v>42948.726354166669</v>
      </c>
      <c r="C110" t="s">
        <v>181</v>
      </c>
      <c r="D110" s="58" t="s">
        <v>182</v>
      </c>
      <c r="E110" s="58" t="s">
        <v>200</v>
      </c>
    </row>
    <row r="111" spans="1:5" x14ac:dyDescent="0.25">
      <c r="A111">
        <v>110</v>
      </c>
      <c r="B111" s="67">
        <v>42948.726354166669</v>
      </c>
      <c r="C111" t="s">
        <v>194</v>
      </c>
      <c r="D111" s="58" t="s">
        <v>182</v>
      </c>
      <c r="E111" s="58" t="s">
        <v>195</v>
      </c>
    </row>
    <row r="112" spans="1:5" x14ac:dyDescent="0.25">
      <c r="A112">
        <v>111</v>
      </c>
      <c r="B112" s="67">
        <v>42948.726354166669</v>
      </c>
      <c r="C112" t="s">
        <v>193</v>
      </c>
      <c r="D112" s="58" t="s">
        <v>182</v>
      </c>
      <c r="E112" s="58" t="s">
        <v>195</v>
      </c>
    </row>
    <row r="113" spans="1:5" x14ac:dyDescent="0.25">
      <c r="A113">
        <v>112</v>
      </c>
      <c r="B113" s="67">
        <v>42948.726388888892</v>
      </c>
      <c r="C113" t="s">
        <v>196</v>
      </c>
      <c r="D113" s="58" t="s">
        <v>182</v>
      </c>
      <c r="E113" s="58" t="s">
        <v>191</v>
      </c>
    </row>
    <row r="114" spans="1:5" x14ac:dyDescent="0.25">
      <c r="A114">
        <v>113</v>
      </c>
      <c r="B114" s="67">
        <v>42948.726388888892</v>
      </c>
      <c r="C114" t="s">
        <v>197</v>
      </c>
      <c r="D114" s="58" t="s">
        <v>182</v>
      </c>
      <c r="E114" s="58" t="s">
        <v>195</v>
      </c>
    </row>
    <row r="115" spans="1:5" x14ac:dyDescent="0.25">
      <c r="A115">
        <v>114</v>
      </c>
      <c r="B115" s="67">
        <v>42948.726400462961</v>
      </c>
      <c r="C115" t="s">
        <v>193</v>
      </c>
      <c r="D115" s="58" t="s">
        <v>182</v>
      </c>
      <c r="E115" s="58" t="s">
        <v>191</v>
      </c>
    </row>
    <row r="116" spans="1:5" x14ac:dyDescent="0.25">
      <c r="A116">
        <v>115</v>
      </c>
      <c r="B116" s="67">
        <v>42948.726400462961</v>
      </c>
      <c r="C116" t="s">
        <v>194</v>
      </c>
      <c r="D116" s="58" t="s">
        <v>182</v>
      </c>
      <c r="E116" s="58" t="s">
        <v>191</v>
      </c>
    </row>
    <row r="117" spans="1:5" x14ac:dyDescent="0.25">
      <c r="A117">
        <v>116</v>
      </c>
      <c r="B117" s="67">
        <v>42948.726400462961</v>
      </c>
      <c r="C117" t="s">
        <v>181</v>
      </c>
      <c r="D117" s="58" t="s">
        <v>182</v>
      </c>
      <c r="E117" s="58" t="s">
        <v>200</v>
      </c>
    </row>
    <row r="118" spans="1:5" x14ac:dyDescent="0.25">
      <c r="A118">
        <v>117</v>
      </c>
      <c r="B118" s="67">
        <v>42948.726400462961</v>
      </c>
      <c r="C118" t="s">
        <v>194</v>
      </c>
      <c r="D118" s="58" t="s">
        <v>182</v>
      </c>
      <c r="E118" s="58" t="s">
        <v>195</v>
      </c>
    </row>
    <row r="119" spans="1:5" x14ac:dyDescent="0.25">
      <c r="A119">
        <v>118</v>
      </c>
      <c r="B119" s="67">
        <v>42948.726400462961</v>
      </c>
      <c r="C119" t="s">
        <v>193</v>
      </c>
      <c r="D119" s="58" t="s">
        <v>182</v>
      </c>
      <c r="E119" s="58" t="s">
        <v>195</v>
      </c>
    </row>
    <row r="120" spans="1:5" x14ac:dyDescent="0.25">
      <c r="A120">
        <v>119</v>
      </c>
      <c r="B120" s="67">
        <v>42948.728680555556</v>
      </c>
      <c r="C120" t="s">
        <v>198</v>
      </c>
      <c r="D120" s="58" t="s">
        <v>182</v>
      </c>
      <c r="E120" s="58" t="s">
        <v>191</v>
      </c>
    </row>
    <row r="121" spans="1:5" x14ac:dyDescent="0.25">
      <c r="A121">
        <v>120</v>
      </c>
      <c r="B121" s="67">
        <v>42948.728692129633</v>
      </c>
      <c r="C121" t="s">
        <v>192</v>
      </c>
      <c r="D121" s="58" t="s">
        <v>182</v>
      </c>
      <c r="E121" s="58" t="s">
        <v>191</v>
      </c>
    </row>
    <row r="122" spans="1:5" x14ac:dyDescent="0.25">
      <c r="A122">
        <v>121</v>
      </c>
      <c r="B122" s="67">
        <v>42948.728692129633</v>
      </c>
      <c r="C122" t="s">
        <v>184</v>
      </c>
      <c r="D122" s="58" t="s">
        <v>182</v>
      </c>
      <c r="E122" s="58" t="s">
        <v>185</v>
      </c>
    </row>
    <row r="123" spans="1:5" x14ac:dyDescent="0.25">
      <c r="A123">
        <v>122</v>
      </c>
      <c r="B123" s="67">
        <v>42948.728692129633</v>
      </c>
      <c r="C123" t="s">
        <v>186</v>
      </c>
      <c r="D123" s="58" t="s">
        <v>187</v>
      </c>
      <c r="E123" s="58" t="s">
        <v>187</v>
      </c>
    </row>
    <row r="124" spans="1:5" x14ac:dyDescent="0.25">
      <c r="A124">
        <v>123</v>
      </c>
      <c r="B124" s="67">
        <v>42948.728692129633</v>
      </c>
      <c r="C124" t="s">
        <v>192</v>
      </c>
      <c r="D124" s="58" t="s">
        <v>182</v>
      </c>
      <c r="E124" s="58" t="s">
        <v>191</v>
      </c>
    </row>
    <row r="125" spans="1:5" x14ac:dyDescent="0.25">
      <c r="A125">
        <v>124</v>
      </c>
      <c r="B125" s="67">
        <v>42948.728692129633</v>
      </c>
      <c r="C125" t="s">
        <v>190</v>
      </c>
      <c r="D125" s="58" t="s">
        <v>182</v>
      </c>
      <c r="E125" s="58" t="s">
        <v>195</v>
      </c>
    </row>
    <row r="126" spans="1:5" x14ac:dyDescent="0.25">
      <c r="A126">
        <v>125</v>
      </c>
      <c r="B126" s="67">
        <v>42948.732615740744</v>
      </c>
      <c r="C126" t="s">
        <v>179</v>
      </c>
      <c r="D126" s="58" t="s">
        <v>180</v>
      </c>
      <c r="E126" s="58" t="s">
        <v>180</v>
      </c>
    </row>
    <row r="127" spans="1:5" x14ac:dyDescent="0.25">
      <c r="A127">
        <v>126</v>
      </c>
      <c r="B127" s="67">
        <v>42948.733148148145</v>
      </c>
      <c r="C127" t="s">
        <v>179</v>
      </c>
      <c r="D127" s="58" t="s">
        <v>180</v>
      </c>
      <c r="E127" s="58" t="s">
        <v>180</v>
      </c>
    </row>
    <row r="128" spans="1:5" x14ac:dyDescent="0.25">
      <c r="A128">
        <v>127</v>
      </c>
      <c r="B128" s="67">
        <v>42948.736030092594</v>
      </c>
      <c r="C128" t="s">
        <v>196</v>
      </c>
      <c r="D128" s="58" t="s">
        <v>182</v>
      </c>
      <c r="E128" s="58" t="s">
        <v>191</v>
      </c>
    </row>
    <row r="129" spans="1:5" x14ac:dyDescent="0.25">
      <c r="A129">
        <v>128</v>
      </c>
      <c r="B129" s="67">
        <v>42948.736030092594</v>
      </c>
      <c r="C129" t="s">
        <v>197</v>
      </c>
      <c r="D129" s="58" t="s">
        <v>182</v>
      </c>
      <c r="E129" s="58" t="s">
        <v>195</v>
      </c>
    </row>
    <row r="130" spans="1:5" x14ac:dyDescent="0.25">
      <c r="A130">
        <v>129</v>
      </c>
      <c r="B130" s="67">
        <v>42948.73605324074</v>
      </c>
      <c r="C130" t="s">
        <v>193</v>
      </c>
      <c r="D130" s="58" t="s">
        <v>182</v>
      </c>
      <c r="E130" s="58" t="s">
        <v>191</v>
      </c>
    </row>
    <row r="131" spans="1:5" x14ac:dyDescent="0.25">
      <c r="A131">
        <v>130</v>
      </c>
      <c r="B131" s="67">
        <v>42948.736064814817</v>
      </c>
      <c r="C131" t="s">
        <v>194</v>
      </c>
      <c r="D131" s="58" t="s">
        <v>182</v>
      </c>
      <c r="E131" s="58" t="s">
        <v>191</v>
      </c>
    </row>
    <row r="132" spans="1:5" x14ac:dyDescent="0.25">
      <c r="A132">
        <v>131</v>
      </c>
      <c r="B132" s="67">
        <v>42948.736064814817</v>
      </c>
      <c r="C132" t="s">
        <v>181</v>
      </c>
      <c r="D132" s="58" t="s">
        <v>182</v>
      </c>
      <c r="E132" s="58" t="s">
        <v>200</v>
      </c>
    </row>
    <row r="133" spans="1:5" x14ac:dyDescent="0.25">
      <c r="A133">
        <v>132</v>
      </c>
      <c r="B133" s="67">
        <v>42948.736064814817</v>
      </c>
      <c r="C133" t="s">
        <v>194</v>
      </c>
      <c r="D133" s="58" t="s">
        <v>182</v>
      </c>
      <c r="E133" s="58" t="s">
        <v>195</v>
      </c>
    </row>
    <row r="134" spans="1:5" x14ac:dyDescent="0.25">
      <c r="A134">
        <v>133</v>
      </c>
      <c r="B134" s="67">
        <v>42948.736064814817</v>
      </c>
      <c r="C134" t="s">
        <v>193</v>
      </c>
      <c r="D134" s="58" t="s">
        <v>182</v>
      </c>
      <c r="E134" s="58" t="s">
        <v>195</v>
      </c>
    </row>
    <row r="135" spans="1:5" x14ac:dyDescent="0.25">
      <c r="A135">
        <v>134</v>
      </c>
      <c r="B135" s="67">
        <v>42948.738263888888</v>
      </c>
      <c r="C135" t="s">
        <v>198</v>
      </c>
      <c r="D135" s="58" t="s">
        <v>182</v>
      </c>
      <c r="E135" s="58" t="s">
        <v>191</v>
      </c>
    </row>
    <row r="136" spans="1:5" x14ac:dyDescent="0.25">
      <c r="A136">
        <v>135</v>
      </c>
      <c r="B136" s="67">
        <v>42948.738263888888</v>
      </c>
      <c r="C136" t="s">
        <v>192</v>
      </c>
      <c r="D136" s="58" t="s">
        <v>182</v>
      </c>
      <c r="E136" s="58" t="s">
        <v>191</v>
      </c>
    </row>
    <row r="137" spans="1:5" x14ac:dyDescent="0.25">
      <c r="A137">
        <v>136</v>
      </c>
      <c r="B137" s="67">
        <v>42948.738263888888</v>
      </c>
      <c r="C137" t="s">
        <v>184</v>
      </c>
      <c r="D137" s="58" t="s">
        <v>182</v>
      </c>
      <c r="E137" s="58" t="s">
        <v>185</v>
      </c>
    </row>
    <row r="138" spans="1:5" x14ac:dyDescent="0.25">
      <c r="A138">
        <v>137</v>
      </c>
      <c r="B138" s="67">
        <v>42948.738263888888</v>
      </c>
      <c r="C138" t="s">
        <v>186</v>
      </c>
      <c r="D138" s="58" t="s">
        <v>187</v>
      </c>
      <c r="E138" s="58" t="s">
        <v>187</v>
      </c>
    </row>
    <row r="139" spans="1:5" x14ac:dyDescent="0.25">
      <c r="A139">
        <v>138</v>
      </c>
      <c r="B139" s="67">
        <v>42948.738263888888</v>
      </c>
      <c r="C139" t="s">
        <v>192</v>
      </c>
      <c r="D139" s="58" t="s">
        <v>182</v>
      </c>
      <c r="E139" s="58" t="s">
        <v>191</v>
      </c>
    </row>
    <row r="140" spans="1:5" x14ac:dyDescent="0.25">
      <c r="A140">
        <v>139</v>
      </c>
      <c r="B140" s="67">
        <v>42948.738263888888</v>
      </c>
      <c r="C140" t="s">
        <v>190</v>
      </c>
      <c r="D140" s="58" t="s">
        <v>182</v>
      </c>
      <c r="E140" s="58" t="s">
        <v>195</v>
      </c>
    </row>
    <row r="141" spans="1:5" x14ac:dyDescent="0.25">
      <c r="A141">
        <v>140</v>
      </c>
      <c r="B141" s="67">
        <v>42948.740798611114</v>
      </c>
      <c r="C141" t="s">
        <v>179</v>
      </c>
      <c r="D141" s="58" t="s">
        <v>180</v>
      </c>
      <c r="E141" s="58" t="s">
        <v>180</v>
      </c>
    </row>
    <row r="142" spans="1:5" x14ac:dyDescent="0.25">
      <c r="A142">
        <v>141</v>
      </c>
      <c r="B142" s="67">
        <v>42948.741203703707</v>
      </c>
      <c r="C142" t="s">
        <v>179</v>
      </c>
      <c r="D142" s="58" t="s">
        <v>180</v>
      </c>
      <c r="E142" s="58" t="s">
        <v>180</v>
      </c>
    </row>
    <row r="143" spans="1:5" x14ac:dyDescent="0.25">
      <c r="A143">
        <v>142</v>
      </c>
      <c r="B143" s="67">
        <v>42948.741400462961</v>
      </c>
      <c r="C143" t="s">
        <v>193</v>
      </c>
      <c r="D143" s="58" t="s">
        <v>182</v>
      </c>
      <c r="E143" s="58" t="s">
        <v>191</v>
      </c>
    </row>
    <row r="144" spans="1:5" x14ac:dyDescent="0.25">
      <c r="A144">
        <v>143</v>
      </c>
      <c r="B144" s="67">
        <v>42948.741400462961</v>
      </c>
      <c r="C144" t="s">
        <v>194</v>
      </c>
      <c r="D144" s="58" t="s">
        <v>182</v>
      </c>
      <c r="E144" s="58" t="s">
        <v>191</v>
      </c>
    </row>
    <row r="145" spans="1:5" x14ac:dyDescent="0.25">
      <c r="A145">
        <v>144</v>
      </c>
      <c r="B145" s="67">
        <v>42948.741400462961</v>
      </c>
      <c r="C145" t="s">
        <v>181</v>
      </c>
      <c r="D145" s="58" t="s">
        <v>182</v>
      </c>
      <c r="E145" s="58" t="s">
        <v>200</v>
      </c>
    </row>
    <row r="146" spans="1:5" x14ac:dyDescent="0.25">
      <c r="A146">
        <v>145</v>
      </c>
      <c r="B146" s="67">
        <v>42948.741400462961</v>
      </c>
      <c r="C146" t="s">
        <v>194</v>
      </c>
      <c r="D146" s="58" t="s">
        <v>182</v>
      </c>
      <c r="E146" s="58" t="s">
        <v>195</v>
      </c>
    </row>
    <row r="147" spans="1:5" x14ac:dyDescent="0.25">
      <c r="A147">
        <v>146</v>
      </c>
      <c r="B147" s="67">
        <v>42948.741400462961</v>
      </c>
      <c r="C147" t="s">
        <v>193</v>
      </c>
      <c r="D147" s="58" t="s">
        <v>182</v>
      </c>
      <c r="E147" s="58" t="s">
        <v>195</v>
      </c>
    </row>
    <row r="148" spans="1:5" x14ac:dyDescent="0.25">
      <c r="A148">
        <v>147</v>
      </c>
      <c r="B148" s="67">
        <v>42948.786608796298</v>
      </c>
      <c r="C148" t="s">
        <v>179</v>
      </c>
      <c r="D148" s="58" t="s">
        <v>180</v>
      </c>
      <c r="E148" s="58" t="s">
        <v>180</v>
      </c>
    </row>
    <row r="149" spans="1:5" x14ac:dyDescent="0.25">
      <c r="A149">
        <v>148</v>
      </c>
      <c r="B149" s="67">
        <v>42948.795081018521</v>
      </c>
      <c r="C149" t="s">
        <v>193</v>
      </c>
      <c r="D149" s="58" t="s">
        <v>182</v>
      </c>
      <c r="E149" s="58" t="s">
        <v>191</v>
      </c>
    </row>
    <row r="150" spans="1:5" x14ac:dyDescent="0.25">
      <c r="A150">
        <v>149</v>
      </c>
      <c r="B150" s="67">
        <v>42948.795081018521</v>
      </c>
      <c r="C150" t="s">
        <v>194</v>
      </c>
      <c r="D150" s="58" t="s">
        <v>182</v>
      </c>
      <c r="E150" s="58" t="s">
        <v>191</v>
      </c>
    </row>
    <row r="151" spans="1:5" x14ac:dyDescent="0.25">
      <c r="A151">
        <v>150</v>
      </c>
      <c r="B151" s="67">
        <v>42948.795081018521</v>
      </c>
      <c r="C151" t="s">
        <v>181</v>
      </c>
      <c r="D151" s="58" t="s">
        <v>182</v>
      </c>
      <c r="E151" s="58" t="s">
        <v>200</v>
      </c>
    </row>
    <row r="152" spans="1:5" x14ac:dyDescent="0.25">
      <c r="A152">
        <v>151</v>
      </c>
      <c r="B152" s="67">
        <v>42948.795092592591</v>
      </c>
      <c r="C152" t="s">
        <v>194</v>
      </c>
      <c r="D152" s="58" t="s">
        <v>182</v>
      </c>
      <c r="E152" s="58" t="s">
        <v>195</v>
      </c>
    </row>
    <row r="153" spans="1:5" x14ac:dyDescent="0.25">
      <c r="A153">
        <v>152</v>
      </c>
      <c r="B153" s="67">
        <v>42948.795092592591</v>
      </c>
      <c r="C153" t="s">
        <v>193</v>
      </c>
      <c r="D153" s="58" t="s">
        <v>182</v>
      </c>
      <c r="E153" s="58" t="s">
        <v>195</v>
      </c>
    </row>
    <row r="154" spans="1:5" x14ac:dyDescent="0.25">
      <c r="A154">
        <v>153</v>
      </c>
      <c r="B154" s="67">
        <v>42948.797083333331</v>
      </c>
      <c r="C154" t="s">
        <v>193</v>
      </c>
      <c r="D154" s="58" t="s">
        <v>182</v>
      </c>
      <c r="E154" s="58" t="s">
        <v>191</v>
      </c>
    </row>
    <row r="155" spans="1:5" x14ac:dyDescent="0.25">
      <c r="A155">
        <v>154</v>
      </c>
      <c r="B155" s="67">
        <v>42948.797083333331</v>
      </c>
      <c r="C155" t="s">
        <v>194</v>
      </c>
      <c r="D155" s="58" t="s">
        <v>182</v>
      </c>
      <c r="E155" s="58" t="s">
        <v>191</v>
      </c>
    </row>
    <row r="156" spans="1:5" x14ac:dyDescent="0.25">
      <c r="A156">
        <v>155</v>
      </c>
      <c r="B156" s="67">
        <v>42948.797094907408</v>
      </c>
      <c r="C156" t="s">
        <v>181</v>
      </c>
      <c r="D156" s="58" t="s">
        <v>182</v>
      </c>
      <c r="E156" s="58" t="s">
        <v>200</v>
      </c>
    </row>
    <row r="157" spans="1:5" x14ac:dyDescent="0.25">
      <c r="A157">
        <v>156</v>
      </c>
      <c r="B157" s="67">
        <v>42948.797094907408</v>
      </c>
      <c r="C157" t="s">
        <v>194</v>
      </c>
      <c r="D157" s="58" t="s">
        <v>182</v>
      </c>
      <c r="E157" s="58" t="s">
        <v>195</v>
      </c>
    </row>
    <row r="158" spans="1:5" x14ac:dyDescent="0.25">
      <c r="A158">
        <v>157</v>
      </c>
      <c r="B158" s="67">
        <v>42948.797094907408</v>
      </c>
      <c r="C158" t="s">
        <v>193</v>
      </c>
      <c r="D158" s="58" t="s">
        <v>182</v>
      </c>
      <c r="E158" s="58" t="s">
        <v>195</v>
      </c>
    </row>
    <row r="159" spans="1:5" x14ac:dyDescent="0.25">
      <c r="A159">
        <v>158</v>
      </c>
      <c r="B159" s="67">
        <v>42948.797268518516</v>
      </c>
      <c r="C159" t="s">
        <v>196</v>
      </c>
      <c r="D159" s="58" t="s">
        <v>182</v>
      </c>
      <c r="E159" s="58" t="s">
        <v>191</v>
      </c>
    </row>
    <row r="160" spans="1:5" x14ac:dyDescent="0.25">
      <c r="A160">
        <v>159</v>
      </c>
      <c r="B160" s="67">
        <v>42948.797268518516</v>
      </c>
      <c r="C160" t="s">
        <v>197</v>
      </c>
      <c r="D160" s="58" t="s">
        <v>182</v>
      </c>
      <c r="E160" s="58" t="s">
        <v>195</v>
      </c>
    </row>
    <row r="161" spans="1:5" x14ac:dyDescent="0.25">
      <c r="A161">
        <v>160</v>
      </c>
      <c r="B161" s="67">
        <v>42948.797349537039</v>
      </c>
      <c r="C161" t="s">
        <v>193</v>
      </c>
      <c r="D161" s="58" t="s">
        <v>182</v>
      </c>
      <c r="E161" s="58" t="s">
        <v>191</v>
      </c>
    </row>
    <row r="162" spans="1:5" x14ac:dyDescent="0.25">
      <c r="A162">
        <v>161</v>
      </c>
      <c r="B162" s="67">
        <v>42948.797349537039</v>
      </c>
      <c r="C162" t="s">
        <v>194</v>
      </c>
      <c r="D162" s="58" t="s">
        <v>182</v>
      </c>
      <c r="E162" s="58" t="s">
        <v>191</v>
      </c>
    </row>
    <row r="163" spans="1:5" x14ac:dyDescent="0.25">
      <c r="A163">
        <v>162</v>
      </c>
      <c r="B163" s="67">
        <v>42948.797349537039</v>
      </c>
      <c r="C163" t="s">
        <v>181</v>
      </c>
      <c r="D163" s="58" t="s">
        <v>182</v>
      </c>
      <c r="E163" s="58" t="s">
        <v>200</v>
      </c>
    </row>
    <row r="164" spans="1:5" x14ac:dyDescent="0.25">
      <c r="A164">
        <v>163</v>
      </c>
      <c r="B164" s="67">
        <v>42948.797349537039</v>
      </c>
      <c r="C164" t="s">
        <v>194</v>
      </c>
      <c r="D164" s="58" t="s">
        <v>182</v>
      </c>
      <c r="E164" s="58" t="s">
        <v>195</v>
      </c>
    </row>
    <row r="165" spans="1:5" x14ac:dyDescent="0.25">
      <c r="A165">
        <v>164</v>
      </c>
      <c r="B165" s="67">
        <v>42948.797349537039</v>
      </c>
      <c r="C165" t="s">
        <v>193</v>
      </c>
      <c r="D165" s="58" t="s">
        <v>182</v>
      </c>
      <c r="E165" s="58" t="s">
        <v>195</v>
      </c>
    </row>
    <row r="166" spans="1:5" x14ac:dyDescent="0.25">
      <c r="A166">
        <v>165</v>
      </c>
      <c r="B166" s="67">
        <v>42948.802106481482</v>
      </c>
      <c r="C166" t="s">
        <v>198</v>
      </c>
      <c r="D166" s="58" t="s">
        <v>182</v>
      </c>
      <c r="E166" s="58" t="s">
        <v>191</v>
      </c>
    </row>
    <row r="167" spans="1:5" x14ac:dyDescent="0.25">
      <c r="A167">
        <v>166</v>
      </c>
      <c r="B167" s="67">
        <v>42948.802106481482</v>
      </c>
      <c r="C167" t="s">
        <v>192</v>
      </c>
      <c r="D167" s="58" t="s">
        <v>182</v>
      </c>
      <c r="E167" s="58" t="s">
        <v>191</v>
      </c>
    </row>
    <row r="168" spans="1:5" x14ac:dyDescent="0.25">
      <c r="A168">
        <v>167</v>
      </c>
      <c r="B168" s="67">
        <v>42948.802106481482</v>
      </c>
      <c r="C168" t="s">
        <v>184</v>
      </c>
      <c r="D168" s="58" t="s">
        <v>182</v>
      </c>
      <c r="E168" s="58" t="s">
        <v>201</v>
      </c>
    </row>
    <row r="169" spans="1:5" x14ac:dyDescent="0.25">
      <c r="A169">
        <v>168</v>
      </c>
      <c r="B169" s="67">
        <v>42948.802106481482</v>
      </c>
      <c r="C169" t="s">
        <v>186</v>
      </c>
      <c r="D169" s="58" t="s">
        <v>187</v>
      </c>
      <c r="E169" s="58" t="s">
        <v>187</v>
      </c>
    </row>
    <row r="170" spans="1:5" x14ac:dyDescent="0.25">
      <c r="A170">
        <v>169</v>
      </c>
      <c r="B170" s="67">
        <v>42948.802106481482</v>
      </c>
      <c r="C170" t="s">
        <v>192</v>
      </c>
      <c r="D170" s="58" t="s">
        <v>182</v>
      </c>
      <c r="E170" s="58" t="s">
        <v>191</v>
      </c>
    </row>
    <row r="171" spans="1:5" x14ac:dyDescent="0.25">
      <c r="A171">
        <v>170</v>
      </c>
      <c r="B171" s="67">
        <v>42948.802106481482</v>
      </c>
      <c r="C171" t="s">
        <v>190</v>
      </c>
      <c r="D171" s="58" t="s">
        <v>182</v>
      </c>
      <c r="E171" s="58" t="s">
        <v>195</v>
      </c>
    </row>
    <row r="172" spans="1:5" x14ac:dyDescent="0.25">
      <c r="A172">
        <v>171</v>
      </c>
      <c r="B172" s="67">
        <v>42948.805902777778</v>
      </c>
      <c r="C172" t="s">
        <v>193</v>
      </c>
      <c r="D172" s="58" t="s">
        <v>182</v>
      </c>
      <c r="E172" s="58" t="s">
        <v>191</v>
      </c>
    </row>
    <row r="173" spans="1:5" x14ac:dyDescent="0.25">
      <c r="A173">
        <v>172</v>
      </c>
      <c r="B173" s="67">
        <v>42948.805902777778</v>
      </c>
      <c r="C173" t="s">
        <v>194</v>
      </c>
      <c r="D173" s="58" t="s">
        <v>182</v>
      </c>
      <c r="E173" s="58" t="s">
        <v>191</v>
      </c>
    </row>
    <row r="174" spans="1:5" x14ac:dyDescent="0.25">
      <c r="A174">
        <v>173</v>
      </c>
      <c r="B174" s="67">
        <v>42948.805914351855</v>
      </c>
      <c r="C174" t="s">
        <v>181</v>
      </c>
      <c r="D174" s="58" t="s">
        <v>182</v>
      </c>
      <c r="E174" s="58" t="s">
        <v>200</v>
      </c>
    </row>
    <row r="175" spans="1:5" x14ac:dyDescent="0.25">
      <c r="A175">
        <v>174</v>
      </c>
      <c r="B175" s="67">
        <v>42948.805914351855</v>
      </c>
      <c r="C175" t="s">
        <v>194</v>
      </c>
      <c r="D175" s="58" t="s">
        <v>182</v>
      </c>
      <c r="E175" s="58" t="s">
        <v>195</v>
      </c>
    </row>
    <row r="176" spans="1:5" x14ac:dyDescent="0.25">
      <c r="A176">
        <v>175</v>
      </c>
      <c r="B176" s="67">
        <v>42948.805914351855</v>
      </c>
      <c r="C176" t="s">
        <v>193</v>
      </c>
      <c r="D176" s="58" t="s">
        <v>182</v>
      </c>
      <c r="E176" s="58" t="s">
        <v>195</v>
      </c>
    </row>
    <row r="177" spans="1:5" x14ac:dyDescent="0.25">
      <c r="A177">
        <v>176</v>
      </c>
      <c r="B177" s="67">
        <v>42948.805983796294</v>
      </c>
      <c r="C177" t="s">
        <v>193</v>
      </c>
      <c r="D177" s="58" t="s">
        <v>182</v>
      </c>
      <c r="E177" s="58" t="s">
        <v>191</v>
      </c>
    </row>
    <row r="178" spans="1:5" x14ac:dyDescent="0.25">
      <c r="A178">
        <v>177</v>
      </c>
      <c r="B178" s="67">
        <v>42948.805983796294</v>
      </c>
      <c r="C178" t="s">
        <v>194</v>
      </c>
      <c r="D178" s="58" t="s">
        <v>182</v>
      </c>
      <c r="E178" s="58" t="s">
        <v>191</v>
      </c>
    </row>
    <row r="179" spans="1:5" x14ac:dyDescent="0.25">
      <c r="A179">
        <v>178</v>
      </c>
      <c r="B179" s="67">
        <v>42948.805983796294</v>
      </c>
      <c r="C179" t="s">
        <v>181</v>
      </c>
      <c r="D179" s="58" t="s">
        <v>182</v>
      </c>
      <c r="E179" s="58" t="s">
        <v>200</v>
      </c>
    </row>
    <row r="180" spans="1:5" x14ac:dyDescent="0.25">
      <c r="A180">
        <v>179</v>
      </c>
      <c r="B180" s="67">
        <v>42948.805983796294</v>
      </c>
      <c r="C180" t="s">
        <v>194</v>
      </c>
      <c r="D180" s="58" t="s">
        <v>182</v>
      </c>
      <c r="E180" s="58" t="s">
        <v>195</v>
      </c>
    </row>
    <row r="181" spans="1:5" x14ac:dyDescent="0.25">
      <c r="A181">
        <v>180</v>
      </c>
      <c r="B181" s="67">
        <v>42948.805983796294</v>
      </c>
      <c r="C181" t="s">
        <v>193</v>
      </c>
      <c r="D181" s="58" t="s">
        <v>182</v>
      </c>
      <c r="E181" s="58" t="s">
        <v>195</v>
      </c>
    </row>
    <row r="182" spans="1:5" x14ac:dyDescent="0.25">
      <c r="A182">
        <v>181</v>
      </c>
      <c r="B182" s="67">
        <v>42948.806215277778</v>
      </c>
      <c r="C182" t="s">
        <v>196</v>
      </c>
      <c r="D182" s="58" t="s">
        <v>182</v>
      </c>
      <c r="E182" s="58" t="s">
        <v>191</v>
      </c>
    </row>
    <row r="183" spans="1:5" x14ac:dyDescent="0.25">
      <c r="A183">
        <v>182</v>
      </c>
      <c r="B183" s="67">
        <v>42948.806215277778</v>
      </c>
      <c r="C183" t="s">
        <v>197</v>
      </c>
      <c r="D183" s="58" t="s">
        <v>182</v>
      </c>
      <c r="E183" s="58" t="s">
        <v>195</v>
      </c>
    </row>
    <row r="184" spans="1:5" x14ac:dyDescent="0.25">
      <c r="A184">
        <v>183</v>
      </c>
      <c r="B184" s="67">
        <v>42948.806250000001</v>
      </c>
      <c r="C184" t="s">
        <v>193</v>
      </c>
      <c r="D184" s="58" t="s">
        <v>182</v>
      </c>
      <c r="E184" s="58" t="s">
        <v>191</v>
      </c>
    </row>
    <row r="185" spans="1:5" x14ac:dyDescent="0.25">
      <c r="A185">
        <v>184</v>
      </c>
      <c r="B185" s="67">
        <v>42948.806250000001</v>
      </c>
      <c r="C185" t="s">
        <v>194</v>
      </c>
      <c r="D185" s="58" t="s">
        <v>182</v>
      </c>
      <c r="E185" s="58" t="s">
        <v>191</v>
      </c>
    </row>
    <row r="186" spans="1:5" x14ac:dyDescent="0.25">
      <c r="A186">
        <v>185</v>
      </c>
      <c r="B186" s="67">
        <v>42948.806250000001</v>
      </c>
      <c r="C186" t="s">
        <v>181</v>
      </c>
      <c r="D186" s="58" t="s">
        <v>182</v>
      </c>
      <c r="E186" s="58" t="s">
        <v>200</v>
      </c>
    </row>
    <row r="187" spans="1:5" x14ac:dyDescent="0.25">
      <c r="A187">
        <v>186</v>
      </c>
      <c r="B187" s="67">
        <v>42948.806250000001</v>
      </c>
      <c r="C187" t="s">
        <v>194</v>
      </c>
      <c r="D187" s="58" t="s">
        <v>182</v>
      </c>
      <c r="E187" s="58" t="s">
        <v>195</v>
      </c>
    </row>
    <row r="188" spans="1:5" x14ac:dyDescent="0.25">
      <c r="A188">
        <v>187</v>
      </c>
      <c r="B188" s="67">
        <v>42948.806250000001</v>
      </c>
      <c r="C188" t="s">
        <v>193</v>
      </c>
      <c r="D188" s="58" t="s">
        <v>182</v>
      </c>
      <c r="E188" s="58" t="s">
        <v>195</v>
      </c>
    </row>
    <row r="189" spans="1:5" x14ac:dyDescent="0.25">
      <c r="A189">
        <v>188</v>
      </c>
      <c r="B189" s="67">
        <v>42979.685370370367</v>
      </c>
      <c r="C189" t="s">
        <v>198</v>
      </c>
      <c r="D189" s="58" t="s">
        <v>182</v>
      </c>
      <c r="E189" s="58" t="s">
        <v>191</v>
      </c>
    </row>
    <row r="190" spans="1:5" x14ac:dyDescent="0.25">
      <c r="A190">
        <v>189</v>
      </c>
      <c r="B190" s="67">
        <v>42979.685370370367</v>
      </c>
      <c r="C190" t="s">
        <v>192</v>
      </c>
      <c r="D190" s="58" t="s">
        <v>182</v>
      </c>
      <c r="E190" s="58" t="s">
        <v>191</v>
      </c>
    </row>
    <row r="191" spans="1:5" x14ac:dyDescent="0.25">
      <c r="A191">
        <v>190</v>
      </c>
      <c r="B191" s="67">
        <v>42979.685370370367</v>
      </c>
      <c r="C191" t="s">
        <v>184</v>
      </c>
      <c r="D191" s="58" t="s">
        <v>182</v>
      </c>
      <c r="E191" s="58" t="s">
        <v>201</v>
      </c>
    </row>
    <row r="192" spans="1:5" x14ac:dyDescent="0.25">
      <c r="A192">
        <v>191</v>
      </c>
      <c r="B192" s="67">
        <v>42979.685370370367</v>
      </c>
      <c r="C192" t="s">
        <v>192</v>
      </c>
      <c r="D192" s="58" t="s">
        <v>202</v>
      </c>
    </row>
    <row r="193" spans="1:5" x14ac:dyDescent="0.25">
      <c r="A193">
        <v>192</v>
      </c>
      <c r="B193" s="67">
        <v>42979.685370370367</v>
      </c>
      <c r="C193" t="s">
        <v>192</v>
      </c>
      <c r="D193" s="58" t="s">
        <v>182</v>
      </c>
      <c r="E193" s="58" t="s">
        <v>195</v>
      </c>
    </row>
    <row r="194" spans="1:5" x14ac:dyDescent="0.25">
      <c r="A194">
        <v>193</v>
      </c>
      <c r="B194" s="67">
        <v>42979.685370370367</v>
      </c>
      <c r="C194" t="s">
        <v>190</v>
      </c>
      <c r="D194" s="58" t="s">
        <v>182</v>
      </c>
      <c r="E194" s="58" t="s">
        <v>195</v>
      </c>
    </row>
    <row r="195" spans="1:5" x14ac:dyDescent="0.25">
      <c r="A195">
        <v>194</v>
      </c>
      <c r="B195" s="67">
        <v>42979.68712962963</v>
      </c>
      <c r="C195" t="s">
        <v>193</v>
      </c>
      <c r="D195" s="58" t="s">
        <v>182</v>
      </c>
      <c r="E195" s="58" t="s">
        <v>191</v>
      </c>
    </row>
    <row r="196" spans="1:5" x14ac:dyDescent="0.25">
      <c r="A196">
        <v>195</v>
      </c>
      <c r="B196" s="67">
        <v>42979.68712962963</v>
      </c>
      <c r="C196" t="s">
        <v>194</v>
      </c>
      <c r="D196" s="58" t="s">
        <v>182</v>
      </c>
      <c r="E196" s="58" t="s">
        <v>191</v>
      </c>
    </row>
    <row r="197" spans="1:5" x14ac:dyDescent="0.25">
      <c r="A197">
        <v>196</v>
      </c>
      <c r="B197" s="67">
        <v>42979.687141203707</v>
      </c>
      <c r="C197" t="s">
        <v>181</v>
      </c>
      <c r="D197" s="58" t="s">
        <v>182</v>
      </c>
      <c r="E197" s="58" t="s">
        <v>200</v>
      </c>
    </row>
    <row r="198" spans="1:5" x14ac:dyDescent="0.25">
      <c r="A198">
        <v>197</v>
      </c>
      <c r="B198" s="67">
        <v>42979.687141203707</v>
      </c>
      <c r="C198" t="s">
        <v>194</v>
      </c>
      <c r="D198" s="58" t="s">
        <v>182</v>
      </c>
      <c r="E198" s="58" t="s">
        <v>195</v>
      </c>
    </row>
    <row r="199" spans="1:5" x14ac:dyDescent="0.25">
      <c r="A199">
        <v>198</v>
      </c>
      <c r="B199" s="67">
        <v>42979.687141203707</v>
      </c>
      <c r="C199" t="s">
        <v>193</v>
      </c>
      <c r="D199" s="58" t="s">
        <v>182</v>
      </c>
      <c r="E199" s="58" t="s">
        <v>195</v>
      </c>
    </row>
    <row r="200" spans="1:5" x14ac:dyDescent="0.25">
      <c r="A200">
        <v>199</v>
      </c>
      <c r="B200" s="67">
        <v>42979.690844907411</v>
      </c>
      <c r="C200" t="s">
        <v>193</v>
      </c>
      <c r="D200" s="58" t="s">
        <v>182</v>
      </c>
      <c r="E200" s="58" t="s">
        <v>191</v>
      </c>
    </row>
    <row r="201" spans="1:5" x14ac:dyDescent="0.25">
      <c r="A201">
        <v>200</v>
      </c>
      <c r="B201" s="67">
        <v>42979.690844907411</v>
      </c>
      <c r="C201" t="s">
        <v>194</v>
      </c>
      <c r="D201" s="58" t="s">
        <v>182</v>
      </c>
      <c r="E201" s="58" t="s">
        <v>191</v>
      </c>
    </row>
    <row r="202" spans="1:5" x14ac:dyDescent="0.25">
      <c r="A202">
        <v>201</v>
      </c>
      <c r="B202" s="67">
        <v>42979.69085648148</v>
      </c>
      <c r="C202" t="s">
        <v>181</v>
      </c>
      <c r="D202" s="58" t="s">
        <v>182</v>
      </c>
      <c r="E202" s="58" t="s">
        <v>200</v>
      </c>
    </row>
    <row r="203" spans="1:5" x14ac:dyDescent="0.25">
      <c r="A203">
        <v>202</v>
      </c>
      <c r="B203" s="67">
        <v>42979.69085648148</v>
      </c>
      <c r="C203" t="s">
        <v>194</v>
      </c>
      <c r="D203" s="58" t="s">
        <v>182</v>
      </c>
      <c r="E203" s="58" t="s">
        <v>195</v>
      </c>
    </row>
    <row r="204" spans="1:5" x14ac:dyDescent="0.25">
      <c r="A204">
        <v>203</v>
      </c>
      <c r="B204" s="67">
        <v>42979.69085648148</v>
      </c>
      <c r="C204" t="s">
        <v>193</v>
      </c>
      <c r="D204" s="58" t="s">
        <v>182</v>
      </c>
      <c r="E204" s="58" t="s">
        <v>195</v>
      </c>
    </row>
    <row r="205" spans="1:5" x14ac:dyDescent="0.25">
      <c r="A205">
        <v>204</v>
      </c>
      <c r="B205" s="67">
        <v>42979.775740740741</v>
      </c>
      <c r="C205" t="s">
        <v>193</v>
      </c>
      <c r="D205" s="58" t="s">
        <v>182</v>
      </c>
      <c r="E205" s="58" t="s">
        <v>191</v>
      </c>
    </row>
    <row r="206" spans="1:5" x14ac:dyDescent="0.25">
      <c r="A206">
        <v>205</v>
      </c>
      <c r="B206" s="67">
        <v>42979.775740740741</v>
      </c>
      <c r="C206" t="s">
        <v>194</v>
      </c>
      <c r="D206" s="58" t="s">
        <v>182</v>
      </c>
      <c r="E206" s="58" t="s">
        <v>191</v>
      </c>
    </row>
    <row r="207" spans="1:5" x14ac:dyDescent="0.25">
      <c r="A207">
        <v>206</v>
      </c>
      <c r="B207" s="67">
        <v>42979.775740740741</v>
      </c>
      <c r="C207" t="s">
        <v>181</v>
      </c>
      <c r="D207" s="58" t="s">
        <v>182</v>
      </c>
      <c r="E207" s="58" t="s">
        <v>200</v>
      </c>
    </row>
    <row r="208" spans="1:5" x14ac:dyDescent="0.25">
      <c r="A208">
        <v>207</v>
      </c>
      <c r="B208" s="67">
        <v>42979.775740740741</v>
      </c>
      <c r="C208" t="s">
        <v>194</v>
      </c>
      <c r="D208" s="58" t="s">
        <v>182</v>
      </c>
      <c r="E208" s="58" t="s">
        <v>195</v>
      </c>
    </row>
    <row r="209" spans="1:5" x14ac:dyDescent="0.25">
      <c r="A209">
        <v>208</v>
      </c>
      <c r="B209" s="67">
        <v>42979.775740740741</v>
      </c>
      <c r="C209" t="s">
        <v>193</v>
      </c>
      <c r="D209" s="58" t="s">
        <v>182</v>
      </c>
      <c r="E209" s="58" t="s">
        <v>195</v>
      </c>
    </row>
    <row r="210" spans="1:5" x14ac:dyDescent="0.25">
      <c r="A210">
        <v>209</v>
      </c>
      <c r="B210" s="67">
        <v>42979.775868055556</v>
      </c>
      <c r="C210" t="s">
        <v>196</v>
      </c>
      <c r="D210" s="58" t="s">
        <v>182</v>
      </c>
      <c r="E210" s="58" t="s">
        <v>191</v>
      </c>
    </row>
    <row r="211" spans="1:5" x14ac:dyDescent="0.25">
      <c r="A211">
        <v>210</v>
      </c>
      <c r="B211" s="67">
        <v>42979.775868055556</v>
      </c>
      <c r="C211" t="s">
        <v>197</v>
      </c>
      <c r="D211" s="58" t="s">
        <v>182</v>
      </c>
      <c r="E211" s="58" t="s">
        <v>195</v>
      </c>
    </row>
    <row r="212" spans="1:5" x14ac:dyDescent="0.25">
      <c r="A212">
        <v>211</v>
      </c>
      <c r="B212" s="67">
        <v>42979.775891203702</v>
      </c>
      <c r="C212" t="s">
        <v>193</v>
      </c>
      <c r="D212" s="58" t="s">
        <v>182</v>
      </c>
      <c r="E212" s="58" t="s">
        <v>191</v>
      </c>
    </row>
    <row r="213" spans="1:5" x14ac:dyDescent="0.25">
      <c r="A213">
        <v>212</v>
      </c>
      <c r="B213" s="67">
        <v>42979.775891203702</v>
      </c>
      <c r="C213" t="s">
        <v>194</v>
      </c>
      <c r="D213" s="58" t="s">
        <v>182</v>
      </c>
      <c r="E213" s="58" t="s">
        <v>191</v>
      </c>
    </row>
    <row r="214" spans="1:5" x14ac:dyDescent="0.25">
      <c r="A214">
        <v>213</v>
      </c>
      <c r="B214" s="67">
        <v>42979.775891203702</v>
      </c>
      <c r="C214" t="s">
        <v>181</v>
      </c>
      <c r="D214" s="58" t="s">
        <v>182</v>
      </c>
      <c r="E214" s="58" t="s">
        <v>200</v>
      </c>
    </row>
    <row r="215" spans="1:5" x14ac:dyDescent="0.25">
      <c r="A215">
        <v>214</v>
      </c>
      <c r="B215" s="67">
        <v>42979.775891203702</v>
      </c>
      <c r="C215" t="s">
        <v>194</v>
      </c>
      <c r="D215" s="58" t="s">
        <v>182</v>
      </c>
      <c r="E215" s="58" t="s">
        <v>195</v>
      </c>
    </row>
    <row r="216" spans="1:5" x14ac:dyDescent="0.25">
      <c r="A216">
        <v>215</v>
      </c>
      <c r="B216" s="67">
        <v>42979.775891203702</v>
      </c>
      <c r="C216" t="s">
        <v>193</v>
      </c>
      <c r="D216" s="58" t="s">
        <v>182</v>
      </c>
      <c r="E216" s="58" t="s">
        <v>195</v>
      </c>
    </row>
    <row r="217" spans="1:5" x14ac:dyDescent="0.25">
      <c r="A217">
        <v>216</v>
      </c>
      <c r="B217" s="67">
        <v>42979.776076388887</v>
      </c>
      <c r="C217" t="s">
        <v>198</v>
      </c>
      <c r="D217" s="58" t="s">
        <v>182</v>
      </c>
      <c r="E217" s="58" t="s">
        <v>191</v>
      </c>
    </row>
    <row r="218" spans="1:5" x14ac:dyDescent="0.25">
      <c r="A218">
        <v>217</v>
      </c>
      <c r="B218" s="67">
        <v>42979.776076388887</v>
      </c>
      <c r="C218" t="s">
        <v>192</v>
      </c>
      <c r="D218" s="58" t="s">
        <v>182</v>
      </c>
      <c r="E218" s="58" t="s">
        <v>191</v>
      </c>
    </row>
    <row r="219" spans="1:5" x14ac:dyDescent="0.25">
      <c r="A219">
        <v>218</v>
      </c>
      <c r="B219" s="67">
        <v>42979.776076388887</v>
      </c>
      <c r="C219" t="s">
        <v>184</v>
      </c>
      <c r="D219" s="58" t="s">
        <v>182</v>
      </c>
      <c r="E219" s="58" t="s">
        <v>201</v>
      </c>
    </row>
    <row r="220" spans="1:5" x14ac:dyDescent="0.25">
      <c r="A220">
        <v>219</v>
      </c>
      <c r="B220" s="67">
        <v>42979.776076388887</v>
      </c>
      <c r="C220" t="s">
        <v>192</v>
      </c>
      <c r="D220" s="58" t="s">
        <v>203</v>
      </c>
    </row>
    <row r="221" spans="1:5" x14ac:dyDescent="0.25">
      <c r="A221">
        <v>220</v>
      </c>
      <c r="B221" s="67">
        <v>42979.776076388887</v>
      </c>
      <c r="C221" t="s">
        <v>192</v>
      </c>
      <c r="D221" s="58" t="s">
        <v>182</v>
      </c>
      <c r="E221" s="58" t="s">
        <v>195</v>
      </c>
    </row>
    <row r="222" spans="1:5" x14ac:dyDescent="0.25">
      <c r="A222">
        <v>221</v>
      </c>
      <c r="B222" s="67">
        <v>42979.776087962964</v>
      </c>
      <c r="C222" t="s">
        <v>190</v>
      </c>
      <c r="D222" s="58" t="s">
        <v>182</v>
      </c>
      <c r="E222" s="58" t="s">
        <v>195</v>
      </c>
    </row>
    <row r="223" spans="1:5" x14ac:dyDescent="0.25">
      <c r="A223">
        <v>222</v>
      </c>
      <c r="B223" s="67">
        <v>42979.776261574072</v>
      </c>
      <c r="C223" t="s">
        <v>196</v>
      </c>
      <c r="D223" s="58" t="s">
        <v>182</v>
      </c>
      <c r="E223" s="58" t="s">
        <v>191</v>
      </c>
    </row>
    <row r="224" spans="1:5" x14ac:dyDescent="0.25">
      <c r="A224">
        <v>223</v>
      </c>
      <c r="B224" s="67">
        <v>42979.776261574072</v>
      </c>
      <c r="C224" t="s">
        <v>197</v>
      </c>
      <c r="D224" s="58" t="s">
        <v>182</v>
      </c>
      <c r="E224" s="58" t="s">
        <v>195</v>
      </c>
    </row>
    <row r="225" spans="1:5" x14ac:dyDescent="0.25">
      <c r="A225">
        <v>224</v>
      </c>
      <c r="B225" s="67">
        <v>42979.776273148149</v>
      </c>
      <c r="C225" t="s">
        <v>193</v>
      </c>
      <c r="D225" s="58" t="s">
        <v>182</v>
      </c>
      <c r="E225" s="58" t="s">
        <v>191</v>
      </c>
    </row>
    <row r="226" spans="1:5" x14ac:dyDescent="0.25">
      <c r="A226">
        <v>225</v>
      </c>
      <c r="B226" s="67">
        <v>42979.776273148149</v>
      </c>
      <c r="C226" t="s">
        <v>194</v>
      </c>
      <c r="D226" s="58" t="s">
        <v>182</v>
      </c>
      <c r="E226" s="58" t="s">
        <v>191</v>
      </c>
    </row>
    <row r="227" spans="1:5" x14ac:dyDescent="0.25">
      <c r="A227">
        <v>226</v>
      </c>
      <c r="B227" s="67">
        <v>42979.776284722226</v>
      </c>
      <c r="C227" t="s">
        <v>181</v>
      </c>
      <c r="D227" s="58" t="s">
        <v>182</v>
      </c>
      <c r="E227" s="58" t="s">
        <v>200</v>
      </c>
    </row>
    <row r="228" spans="1:5" x14ac:dyDescent="0.25">
      <c r="A228">
        <v>227</v>
      </c>
      <c r="B228" s="67">
        <v>42979.776284722226</v>
      </c>
      <c r="C228" t="s">
        <v>194</v>
      </c>
      <c r="D228" s="58" t="s">
        <v>182</v>
      </c>
      <c r="E228" s="58" t="s">
        <v>195</v>
      </c>
    </row>
    <row r="229" spans="1:5" x14ac:dyDescent="0.25">
      <c r="A229">
        <v>228</v>
      </c>
      <c r="B229" s="67">
        <v>42979.776284722226</v>
      </c>
      <c r="C229" t="s">
        <v>193</v>
      </c>
      <c r="D229" s="58" t="s">
        <v>182</v>
      </c>
      <c r="E229" s="58" t="s">
        <v>195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5" tint="0.59999389629810485"/>
  </sheetPr>
  <dimension ref="A1:O31"/>
  <sheetViews>
    <sheetView workbookViewId="0">
      <selection activeCell="K3" sqref="K3"/>
    </sheetView>
  </sheetViews>
  <sheetFormatPr defaultRowHeight="15" x14ac:dyDescent="0.25"/>
  <sheetData>
    <row r="1" spans="1:15" x14ac:dyDescent="0.25">
      <c r="A1" s="40" t="s">
        <v>100</v>
      </c>
      <c r="M1" t="s">
        <v>152</v>
      </c>
    </row>
    <row r="2" spans="1:15" x14ac:dyDescent="0.25">
      <c r="M2" t="s">
        <v>153</v>
      </c>
      <c r="N2" t="s">
        <v>155</v>
      </c>
    </row>
    <row r="3" spans="1:15" x14ac:dyDescent="0.25">
      <c r="A3" s="43" t="s">
        <v>101</v>
      </c>
      <c r="O3" t="s">
        <v>154</v>
      </c>
    </row>
    <row r="4" spans="1:15" x14ac:dyDescent="0.25">
      <c r="A4" s="43" t="s">
        <v>102</v>
      </c>
    </row>
    <row r="5" spans="1:15" x14ac:dyDescent="0.25">
      <c r="A5" t="s">
        <v>103</v>
      </c>
    </row>
    <row r="6" spans="1:15" x14ac:dyDescent="0.25">
      <c r="A6" s="43" t="s">
        <v>107</v>
      </c>
    </row>
    <row r="7" spans="1:15" x14ac:dyDescent="0.25">
      <c r="A7" t="s">
        <v>110</v>
      </c>
      <c r="M7" t="s">
        <v>156</v>
      </c>
    </row>
    <row r="8" spans="1:15" x14ac:dyDescent="0.25">
      <c r="A8" s="5" t="s">
        <v>118</v>
      </c>
    </row>
    <row r="9" spans="1:15" x14ac:dyDescent="0.25">
      <c r="A9" s="5" t="s">
        <v>119</v>
      </c>
    </row>
    <row r="10" spans="1:15" x14ac:dyDescent="0.25">
      <c r="A10" s="5" t="s">
        <v>133</v>
      </c>
    </row>
    <row r="11" spans="1:15" x14ac:dyDescent="0.25">
      <c r="A11" s="5" t="s">
        <v>134</v>
      </c>
      <c r="M11" s="40" t="s">
        <v>143</v>
      </c>
    </row>
    <row r="12" spans="1:15" x14ac:dyDescent="0.25">
      <c r="M12" t="s">
        <v>144</v>
      </c>
    </row>
    <row r="13" spans="1:15" x14ac:dyDescent="0.25">
      <c r="A13" s="40"/>
      <c r="M13" t="s">
        <v>145</v>
      </c>
      <c r="N13" t="s">
        <v>157</v>
      </c>
    </row>
    <row r="14" spans="1:15" x14ac:dyDescent="0.25">
      <c r="A14" s="43"/>
      <c r="N14" t="s">
        <v>158</v>
      </c>
    </row>
    <row r="15" spans="1:15" x14ac:dyDescent="0.25">
      <c r="O15" t="s">
        <v>159</v>
      </c>
    </row>
    <row r="16" spans="1:15" x14ac:dyDescent="0.25">
      <c r="N16" t="s">
        <v>146</v>
      </c>
    </row>
    <row r="17" spans="1:15" x14ac:dyDescent="0.25">
      <c r="N17" t="s">
        <v>147</v>
      </c>
    </row>
    <row r="18" spans="1:15" x14ac:dyDescent="0.25">
      <c r="O18" t="s">
        <v>149</v>
      </c>
    </row>
    <row r="19" spans="1:15" x14ac:dyDescent="0.25">
      <c r="N19" t="s">
        <v>150</v>
      </c>
    </row>
    <row r="20" spans="1:15" x14ac:dyDescent="0.25">
      <c r="O20" t="s">
        <v>151</v>
      </c>
    </row>
    <row r="21" spans="1:15" x14ac:dyDescent="0.25">
      <c r="M21" t="s">
        <v>28</v>
      </c>
    </row>
    <row r="22" spans="1:15" x14ac:dyDescent="0.25">
      <c r="A22" s="40"/>
      <c r="N22" t="s">
        <v>148</v>
      </c>
    </row>
    <row r="26" spans="1:15" x14ac:dyDescent="0.25">
      <c r="M26" t="s">
        <v>176</v>
      </c>
    </row>
    <row r="31" spans="1:15" x14ac:dyDescent="0.25">
      <c r="A31" t="s">
        <v>160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
  <sheetViews>
    <sheetView workbookViewId="0">
      <selection activeCell="H6" sqref="H6"/>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Set up</vt:lpstr>
      <vt:lpstr>ReportLog</vt:lpstr>
      <vt:lpstr>ReportList</vt:lpstr>
      <vt:lpstr>SystemLog</vt:lpstr>
      <vt:lpstr>TODOs</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Fraser Rackham</dc:creator>
  <cp:lastModifiedBy>Fraser Rackham</cp:lastModifiedBy>
  <cp:lastPrinted>2016-12-16T10:42:34Z</cp:lastPrinted>
  <dcterms:created xsi:type="dcterms:W3CDTF">2014-09-01T13:25:42Z</dcterms:created>
  <dcterms:modified xsi:type="dcterms:W3CDTF">2017-01-09T18:37:51Z</dcterms:modified>
</cp:coreProperties>
</file>