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hidePivotFieldList="1" defaultThemeVersion="124226"/>
  <mc:AlternateContent xmlns:mc="http://schemas.openxmlformats.org/markup-compatibility/2006">
    <mc:Choice Requires="x15">
      <x15ac:absPath xmlns:x15ac="http://schemas.microsoft.com/office/spreadsheetml/2010/11/ac" url="C:\_Dropbox\Dropbox\Git\SIMS Automation Project\SIMS-Automation-Project\Master Automation Tool\"/>
    </mc:Choice>
  </mc:AlternateContent>
  <bookViews>
    <workbookView xWindow="0" yWindow="0" windowWidth="20490" windowHeight="8115"/>
  </bookViews>
  <sheets>
    <sheet name="Set up" sheetId="21" r:id="rId1"/>
    <sheet name="ReportLog" sheetId="166" r:id="rId2"/>
    <sheet name="ReportList" sheetId="165" r:id="rId3"/>
    <sheet name="SystemLog" sheetId="167" r:id="rId4"/>
    <sheet name="TODOs" sheetId="44" r:id="rId5"/>
    <sheet name="Sheet1" sheetId="164" r:id="rId6"/>
  </sheets>
  <functionGroups builtInGroupCount="18"/>
  <calcPr calcId="171027"/>
</workbook>
</file>

<file path=xl/calcChain.xml><?xml version="1.0" encoding="utf-8"?>
<calcChain xmlns="http://schemas.openxmlformats.org/spreadsheetml/2006/main">
  <c r="C3" i="165" l="1"/>
  <c r="J21" i="21" l="1"/>
  <c r="J20" i="21"/>
  <c r="J19" i="21"/>
  <c r="J16" i="21" l="1"/>
  <c r="J15" i="21" l="1"/>
  <c r="C45" i="21" s="1"/>
  <c r="B45" i="21" l="1"/>
  <c r="B40" i="21"/>
  <c r="A40" i="21"/>
  <c r="C35" i="21"/>
  <c r="C40" i="21"/>
  <c r="A35" i="21"/>
  <c r="B35" i="21"/>
  <c r="B23" i="21"/>
  <c r="C23" i="21"/>
  <c r="B18" i="21"/>
  <c r="C18" i="21"/>
  <c r="B28" i="21"/>
  <c r="C28" i="21"/>
  <c r="L18" i="21"/>
  <c r="J18" i="21" s="1"/>
  <c r="A45" i="21" s="1"/>
  <c r="J17" i="21"/>
  <c r="A28" i="21" l="1"/>
</calcChain>
</file>

<file path=xl/comments1.xml><?xml version="1.0" encoding="utf-8"?>
<comments xmlns="http://schemas.openxmlformats.org/spreadsheetml/2006/main">
  <authors>
    <author>Faux, Nicholas (CCS)</author>
  </authors>
  <commentList>
    <comment ref="K3" authorId="0" shapeId="0">
      <text>
        <r>
          <rPr>
            <sz val="9"/>
            <color indexed="81"/>
            <rFont val="Tahoma"/>
            <family val="2"/>
          </rPr>
          <t xml:space="preserve">Either run from .bat file or direct from Cmd prompt
</t>
        </r>
      </text>
    </comment>
    <comment ref="A4" authorId="0" shapeId="0">
      <text>
        <r>
          <rPr>
            <sz val="9"/>
            <color indexed="81"/>
            <rFont val="Tahoma"/>
            <family val="2"/>
          </rPr>
          <t>Find this from SIMS | Help | System Information
Leave blank to use default values from Connect.ini</t>
        </r>
      </text>
    </comment>
    <comment ref="A5" authorId="0" shapeId="0">
      <text>
        <r>
          <rPr>
            <sz val="9"/>
            <color indexed="81"/>
            <rFont val="Tahoma"/>
            <family val="2"/>
          </rPr>
          <t xml:space="preserve">Find this from SIMS | Help | System Information
Leave blank to use default values from Connect.ini
</t>
        </r>
      </text>
    </comment>
    <comment ref="A6" authorId="0" shapeId="0">
      <text>
        <r>
          <rPr>
            <sz val="9"/>
            <color indexed="81"/>
            <rFont val="Tahoma"/>
            <family val="2"/>
          </rPr>
          <t>Use Absolute path rather than mapped drive.
Could also be saved to cloud (eg Onedrive).
Leave blank to use same path as dashboard file.</t>
        </r>
      </text>
    </comment>
    <comment ref="A8" authorId="0" shapeId="0">
      <text>
        <r>
          <rPr>
            <sz val="9"/>
            <color indexed="81"/>
            <rFont val="Tahoma"/>
            <family val="2"/>
          </rPr>
          <t xml:space="preserve">Separate with semicolons
</t>
        </r>
      </text>
    </comment>
    <comment ref="A9" authorId="0" shapeId="0">
      <text>
        <r>
          <rPr>
            <sz val="9"/>
            <color indexed="81"/>
            <rFont val="Tahoma"/>
            <family val="2"/>
          </rPr>
          <t>If blank, will not attempt to send emails
If using Outlook rather than SMTP, then just add "Outlook" or similar.</t>
        </r>
      </text>
    </comment>
    <comment ref="A10" authorId="0" shapeId="0">
      <text>
        <r>
          <rPr>
            <sz val="9"/>
            <color indexed="81"/>
            <rFont val="Tahoma"/>
            <family val="2"/>
          </rPr>
          <t>Use mapped drive for conciseness or to avoid spaces which render hyperlink unclickable</t>
        </r>
      </text>
    </comment>
    <comment ref="I13" authorId="0" shapeId="0">
      <text>
        <r>
          <rPr>
            <sz val="9"/>
            <color indexed="81"/>
            <rFont val="Tahoma"/>
            <family val="2"/>
          </rPr>
          <t xml:space="preserve">Yes or blank
</t>
        </r>
      </text>
    </comment>
    <comment ref="J15" authorId="0" shapeId="0">
      <text>
        <r>
          <rPr>
            <sz val="9"/>
            <color indexed="81"/>
            <rFont val="Tahoma"/>
            <family val="2"/>
          </rPr>
          <t>Enter specific date yyyy-mm-dd
or 
=TODAY()</t>
        </r>
      </text>
    </comment>
    <comment ref="J16" authorId="0" shapeId="0">
      <text>
        <r>
          <rPr>
            <sz val="9"/>
            <color indexed="81"/>
            <rFont val="Tahoma"/>
            <family val="2"/>
          </rPr>
          <t>Enter date yyyy-mm-dd
 or 
=Today() - 7 etc</t>
        </r>
      </text>
    </comment>
  </commentList>
</comments>
</file>

<file path=xl/sharedStrings.xml><?xml version="1.0" encoding="utf-8"?>
<sst xmlns="http://schemas.openxmlformats.org/spreadsheetml/2006/main" count="227" uniqueCount="178">
  <si>
    <t>Location of CommandReporter.exe</t>
  </si>
  <si>
    <t>Database name</t>
  </si>
  <si>
    <t xml:space="preserve">Save Output file to </t>
  </si>
  <si>
    <t>School name</t>
  </si>
  <si>
    <t>Password of SIMS user with permission to run reports</t>
  </si>
  <si>
    <t>User name of SIMS user with permission to run reports</t>
  </si>
  <si>
    <t>SIMS reports</t>
  </si>
  <si>
    <t>This file ("Dashboard")</t>
  </si>
  <si>
    <t>Fill in the name and password of the SIMS user who can run the reports (often set up specifically to run reports and nothing else)</t>
  </si>
  <si>
    <t>Data in the form of .csv files will be written to this same folder, so ensure that the logged on user running this macro enabled Excel workbook (not necessarily the same as the SIMS user) has Write permissions</t>
  </si>
  <si>
    <t>The output file ("Todays's Output")</t>
  </si>
  <si>
    <t>Check the location of CommandReporter.exe and amend cell B3 if different</t>
  </si>
  <si>
    <t>Make sure radio button "Set up mode" is selected</t>
  </si>
  <si>
    <t>Run the report</t>
  </si>
  <si>
    <t>Running first time</t>
  </si>
  <si>
    <t>Adding columns</t>
  </si>
  <si>
    <t>It may be necessary to add a further column, for example to calculate % attendance</t>
  </si>
  <si>
    <t>Record a macro as you do it.  Give the macro a sensible name. Put a title in Row 1 cell. Enter the calculation in the second cell down.  Autofill  to well beyond the last row to accommodate reports with more rows (eg more pupils in school). Format column to percent if necessary. Stop recording.</t>
  </si>
  <si>
    <t>Edit the auto_open macro. Scroll down to just above the end and find 'Add extra tasks here'.  Call your subroutine</t>
  </si>
  <si>
    <t>The Per_cent_col is available for use as a sample - just edit the column letters.</t>
  </si>
  <si>
    <t>Setting up the pivot tables</t>
  </si>
  <si>
    <t>Now go to each pivot table in turn, click on each one and from the ribbon "Change data Source". Highlight the columns to include all the data (Complete columns, not just down to the last row)</t>
  </si>
  <si>
    <t>Drag the fields to the correct boxes - typically Year Group for the row, and Average of Attendance or Behaviour points for values.</t>
  </si>
  <si>
    <t>You may need to sort the years into order</t>
  </si>
  <si>
    <t>You may need to format columns as % and change the number of decimal places</t>
  </si>
  <si>
    <t>Check the "Dashboard" sheet</t>
  </si>
  <si>
    <t>Check that charts are correct</t>
  </si>
  <si>
    <t>Adjust axes as necessary (for eample, start the vertical axis at 90% in the case of attendance)</t>
  </si>
  <si>
    <t>Testing</t>
  </si>
  <si>
    <t>Delete the sheets of report data ("Report1" etc) and delete the .csv files from the folder ("Report1.csv" etc)</t>
  </si>
  <si>
    <t>Save and close the workbook.</t>
  </si>
  <si>
    <t>Open it again and check all is OK</t>
  </si>
  <si>
    <t>Finally</t>
  </si>
  <si>
    <t>Create a "Backup" folder and save a copy of this workbook.  Don't change its name.  You will need this copy in case you need to make later changes.</t>
  </si>
  <si>
    <t>Change the radio button to "Operating mode".  This time it will not pause, will delete the "Set - up" sheet, hide other sheets, and hide tool bars.</t>
  </si>
  <si>
    <t>Save and close</t>
  </si>
  <si>
    <t>Made a mistake?</t>
  </si>
  <si>
    <t>The best option is to use the back up copy which is still in "Set up" mode</t>
  </si>
  <si>
    <t xml:space="preserve">Otherwise you will have to try and interrupt the macro as it is running with Fn / Ctrl /B </t>
  </si>
  <si>
    <t>Add school name, report names; remove legends etc as required</t>
  </si>
  <si>
    <t>Report details</t>
  </si>
  <si>
    <t>Setting a date range</t>
  </si>
  <si>
    <t>email</t>
  </si>
  <si>
    <t>Server name\Instance</t>
  </si>
  <si>
    <t>Set scheduled task</t>
  </si>
  <si>
    <t>As usual, except that may need to specify full path to Excel.exe and file to be opened as argument.</t>
  </si>
  <si>
    <t>email from</t>
  </si>
  <si>
    <t>Dashboard zoom setting (%)</t>
  </si>
  <si>
    <t xml:space="preserve"> </t>
  </si>
  <si>
    <t>Yes</t>
  </si>
  <si>
    <t>Rename charts (Layouts, Properties, Chart name)</t>
  </si>
  <si>
    <t>Ensure in Outline form, otherwise drilldown will not work if rows are split (eg M/F)</t>
  </si>
  <si>
    <t>Send emails to</t>
  </si>
  <si>
    <t>Check the report design and ensure date ranges and run-time parameters have  default values selected. Tick  "prompt at run-time" if you are supplying parameters.</t>
  </si>
  <si>
    <t>Fill in the exact names of the reports in the table above.</t>
  </si>
  <si>
    <t>For absolute dates, add dates directly to rows 18 and 23 etc, or use direct from Reportparams</t>
  </si>
  <si>
    <t>For a relative range (eg last 7 days), use the calculator in J15 to J17 and then concatenate, using TEXT(J15,"yyyy-mm-dd") to keep dates in correct format</t>
  </si>
  <si>
    <t>Save this file ("Dashboard") on a client PC or the server. A server is preferred as it is always running, so the report can be scheduled to run at night, but Excel may not be installed.</t>
  </si>
  <si>
    <t>Fill in details above. Check that emails can be relayed to smtp server</t>
  </si>
  <si>
    <t>In this mode, the macro will pause before running the CommandReporter, and will skip the final "Tidying up" stages.</t>
  </si>
  <si>
    <t>Try and watch what is appearing on the black screens each time the CommandReporter runs (once per report).  It should log in, find the report, run the report.  If it is too quick or there is an error later, it has probably failed.  If it has been successful, it will have saved a "Report1/2/3/4.csv" file to the same folder as the "Dashboard" file is stored.</t>
  </si>
  <si>
    <t>There should be a sheet ("Report1" etc) in this workbook for each set of data.  Check that they all look OK.</t>
  </si>
  <si>
    <t>Note - if you change the location of this Dashboard file you must update the source of the pivot TABLE data (not the chart). Be aware that it also keeps a hidden copy, even if you delete it.</t>
  </si>
  <si>
    <t>Filter the rows to remove blanks (but ensure that use "include new items in manual filter" otherwise fields that appear later will not display, eg behaviour</t>
  </si>
  <si>
    <t>Change other settings (such as message and heading) in line 278 and following.</t>
  </si>
  <si>
    <t>Path for email</t>
  </si>
  <si>
    <t>Skip weekends?</t>
  </si>
  <si>
    <t>smtp server eg smtpserver.local</t>
  </si>
  <si>
    <t>Click the "Get Parameters" utility to get report parameter. Will save to same location as Dashboard. Copy and paste id into rows 17 and 22. The macro will replace " with ' automatically</t>
  </si>
  <si>
    <t>For reports using  a single date, use =CONCATENATE("&lt;DATE&gt;",TEXT(J16,"yyyy-mm-dd"),"&lt;/DATE&gt;")</t>
  </si>
  <si>
    <t>Use separate folders if multiple copies for different audiences</t>
  </si>
  <si>
    <t>Bat file string for testing</t>
  </si>
  <si>
    <t>Follow these instructions carefully.  Only change cells shaded green! (Full instructions available separately)</t>
  </si>
  <si>
    <t>Start of year</t>
  </si>
  <si>
    <t>Today</t>
  </si>
  <si>
    <t>Outlook</t>
  </si>
  <si>
    <t>Version 3v</t>
  </si>
  <si>
    <t>For support, contact</t>
  </si>
  <si>
    <t>Nick Faux</t>
  </si>
  <si>
    <t>School Improvement Consultant</t>
  </si>
  <si>
    <r>
      <t xml:space="preserve">M: </t>
    </r>
    <r>
      <rPr>
        <sz val="10"/>
        <color rgb="FF7F7F7F"/>
        <rFont val="Arial"/>
        <family val="2"/>
      </rPr>
      <t>07710 383223</t>
    </r>
  </si>
  <si>
    <t>E: nicholas.faux@capita.co.uk</t>
  </si>
  <si>
    <t>Capita SIMS</t>
  </si>
  <si>
    <r>
      <t>T:</t>
    </r>
    <r>
      <rPr>
        <sz val="10"/>
        <color rgb="FF7F7F7F"/>
        <rFont val="Arial"/>
        <family val="2"/>
      </rPr>
      <t xml:space="preserve"> 01234 838080</t>
    </r>
  </si>
  <si>
    <r>
      <t>F:</t>
    </r>
    <r>
      <rPr>
        <sz val="10"/>
        <color rgb="FF747678"/>
        <rFont val="Arial"/>
        <family val="2"/>
      </rPr>
      <t xml:space="preserve"> 01234 832182</t>
    </r>
  </si>
  <si>
    <t>www.capita-sims.co.uk</t>
  </si>
  <si>
    <t>peinture</t>
  </si>
  <si>
    <t>C:\Program Files\SIMS\SIMS .net</t>
  </si>
  <si>
    <t>f.admin</t>
  </si>
  <si>
    <t>September 1st of this year</t>
  </si>
  <si>
    <t>Check this</t>
  </si>
  <si>
    <t>Automation - Behaviour (DateFromTo)</t>
  </si>
  <si>
    <t>Barlow RC High</t>
  </si>
  <si>
    <t>"C:\Program Files\SIMS\SIMS .net\CommandReporter.exe" /USER:f.admin /PASSWORD:peinture /SERVERNAME: /DATABASENAME: /REPORT:"_AutomationTestCLR" /OUTPUT:"T:\Staff Resources\Data Management\_2015-16\2016 02 18 - SISM automation and dashboard\Report9.csv" /PARAMS:</t>
  </si>
  <si>
    <t>&lt;Start&gt;2016-12-05T14:38:36&lt;/Start&gt;&lt;End&gt;2016-12-12T14:38:36&lt;/End&gt;</t>
  </si>
  <si>
    <t>&lt;Parameter id='61jJQgmWcKF6KBylfgHxlQ==' subreportfilter='True'&gt;</t>
  </si>
  <si>
    <t>Report9 - Last Week</t>
  </si>
  <si>
    <t>Report8 - Last Month (30 days)</t>
  </si>
  <si>
    <t>DEBUG MODE?</t>
  </si>
  <si>
    <r>
      <t xml:space="preserve">Decide where the daily report will be saved and fill in the path above.  Check that the logged on user running this macro enabled Excel workbook (not necessarily the same as the SIMS user) has Write permissions. </t>
    </r>
    <r>
      <rPr>
        <b/>
        <sz val="11"/>
        <color theme="1"/>
        <rFont val="Calibri"/>
        <family val="2"/>
        <scheme val="minor"/>
      </rPr>
      <t>Path must be full (:\\Sims\....) rather than mapped drive specific to user (eg S:SIMS..) else scheduled task will not work.</t>
    </r>
  </si>
  <si>
    <t>todo list</t>
  </si>
  <si>
    <t>write date to dashboard when output (not as field, should not autocalc).</t>
  </si>
  <si>
    <t>save output with date range it relates to (if we use a global range on this).</t>
  </si>
  <si>
    <t>run off config file instead of these parameters (then the auto_open will be the right approach, as it can be stopped at any point).</t>
  </si>
  <si>
    <t>Report7 - Start of Year</t>
  </si>
  <si>
    <t>T:\General\Examinations\Daily Procedures 2016\SIMS Management and Setup\Tools\Behaviour dashboard (Source SIMS)\Barlow attempt 1\outputs</t>
  </si>
  <si>
    <t>temporary value</t>
  </si>
  <si>
    <t>datestamp outputs</t>
  </si>
  <si>
    <t>f.rackham@thebarlowrchigh.co.uk;s.platt@thebarlowrchigh.co.uk</t>
  </si>
  <si>
    <t>Report1 - Location this week</t>
  </si>
  <si>
    <t>Add option explicit to the code, and dimension the variables.</t>
  </si>
  <si>
    <t>Report2 - PP Last 30 Days</t>
  </si>
  <si>
    <t>Report6-StaffThisMonth</t>
  </si>
  <si>
    <r>
      <t xml:space="preserve">7 days </t>
    </r>
    <r>
      <rPr>
        <sz val="11"/>
        <color theme="3" tint="0.39997558519241921"/>
        <rFont val="Calibri"/>
        <family val="2"/>
        <scheme val="minor"/>
      </rPr>
      <t>time</t>
    </r>
  </si>
  <si>
    <r>
      <t xml:space="preserve">14 days </t>
    </r>
    <r>
      <rPr>
        <sz val="11"/>
        <color theme="5" tint="-0.249977111117893"/>
        <rFont val="Calibri"/>
        <family val="2"/>
        <scheme val="minor"/>
      </rPr>
      <t>ago</t>
    </r>
  </si>
  <si>
    <r>
      <t xml:space="preserve">30 days </t>
    </r>
    <r>
      <rPr>
        <sz val="11"/>
        <color theme="5" tint="-0.249977111117893"/>
        <rFont val="Calibri"/>
        <family val="2"/>
        <scheme val="minor"/>
      </rPr>
      <t>ago</t>
    </r>
  </si>
  <si>
    <r>
      <rPr>
        <sz val="11"/>
        <color theme="5" tint="-0.249977111117893"/>
        <rFont val="Calibri"/>
        <family val="2"/>
        <scheme val="minor"/>
      </rPr>
      <t>Previous</t>
    </r>
    <r>
      <rPr>
        <sz val="11"/>
        <color theme="1"/>
        <rFont val="Calibri"/>
        <family val="2"/>
        <scheme val="minor"/>
      </rPr>
      <t xml:space="preserve"> working day</t>
    </r>
  </si>
  <si>
    <r>
      <t xml:space="preserve">7 days </t>
    </r>
    <r>
      <rPr>
        <sz val="11"/>
        <color theme="5" tint="-0.249977111117893"/>
        <rFont val="Calibri"/>
        <family val="2"/>
        <scheme val="minor"/>
      </rPr>
      <t>ago</t>
    </r>
  </si>
  <si>
    <t>refactor hideous process call loop.</t>
  </si>
  <si>
    <t>refactor hideous chart worksheet functions.</t>
  </si>
  <si>
    <t>Don't Send Email</t>
  </si>
  <si>
    <t>Instructions for report setup are below all the report settings. Do read these!</t>
  </si>
  <si>
    <t>Report11 - PP Last 30 Days</t>
  </si>
  <si>
    <t>Report3 - SEND Last 30 Days</t>
  </si>
  <si>
    <t>Report4 Time of Day, last week</t>
  </si>
  <si>
    <t>Report6-Top 20 students</t>
  </si>
  <si>
    <t>Report12 - SEND Last 30 Days</t>
  </si>
  <si>
    <t>Report16 - Start of Year</t>
  </si>
  <si>
    <t>Report17 - Last Month (30 days)</t>
  </si>
  <si>
    <t>Behaviour Report</t>
  </si>
  <si>
    <t>Achievement Report</t>
  </si>
  <si>
    <t>Automation - Achievement (DateFromTo)</t>
  </si>
  <si>
    <t>ACHIEVEMENT REPORTS</t>
  </si>
  <si>
    <t>Guidance on email for: drilldowning, enable content, image, toggling back to dashboard.</t>
  </si>
  <si>
    <t>replace 'Sheets("Set up").Range("K8") = 1' with a SETUP_MODE/OPERATING_MODE flag.</t>
  </si>
  <si>
    <t>&lt;Start&gt;2016-12-12&lt;/Start&gt;&lt;End&gt;2016-12-19&lt;/End&gt;</t>
  </si>
  <si>
    <r>
      <t xml:space="preserve">Report18 - Last Week </t>
    </r>
    <r>
      <rPr>
        <b/>
        <sz val="11"/>
        <color rgb="FFFF0000"/>
        <rFont val="Calibri"/>
        <family val="2"/>
        <scheme val="minor"/>
      </rPr>
      <t>[Currently Month]</t>
    </r>
  </si>
  <si>
    <t>Report10 - Location (last 30 days)</t>
  </si>
  <si>
    <t>Report13 Time of Day (last 30 days)</t>
  </si>
  <si>
    <t>Report14-Top 20 students (last 30 days)</t>
  </si>
  <si>
    <t>Report15-Staff (last 30 days)</t>
  </si>
  <si>
    <t>&lt;Parameter id='zbE3+SquTbiVKVwTwvK9QA==' subreportfilter='True'&gt;</t>
  </si>
  <si>
    <t>"C:\Program Files\SIMS\SIMS .net\CommandReporter.exe" /USER:f.admin /PASSWORD:peinture /SERVERNAME: /DATABASENAME: /REPORT:"Automation - Achievement (DateFromTo)" /OUTPUT:"T:\General\Examinations\Daily Procedures 2016\SIMS Management and Setup\Tools\Behaviour dashboard (Source SIMS)\Barlow attempt 1\Report18.csv" /PARAMS:"&lt;ReportParameters&gt;&lt;Parameter id='zbE3+SquTbiVKVwTwvK9QA==' subreportfilter='True'&gt;&lt;Values&gt;&lt;Start&gt;2016-11-19&lt;/Start&gt;&lt;End&gt;2016-12-19&lt;/End&gt;&lt;/Values&gt;&lt;/Parameter&gt;&lt;/ReportParameters&gt;"</t>
  </si>
  <si>
    <t>Meta</t>
  </si>
  <si>
    <t>Pull TODOs into new sheet (Parent: Criticals first then…).</t>
  </si>
  <si>
    <t>Classes.</t>
  </si>
  <si>
    <t>Report</t>
  </si>
  <si>
    <t>ReportManager (collection class, see internet for defining). CRUD.</t>
  </si>
  <si>
    <t>Check rubberduck video on testing classes in VBA</t>
  </si>
  <si>
    <t>Move config to the manager</t>
  </si>
  <si>
    <t>DistributionInterface?</t>
  </si>
  <si>
    <t>If outlook intergration working and not debug/etc., mail. Else route to action queue for next time OR debug list (word?).</t>
  </si>
  <si>
    <t>Tests</t>
  </si>
  <si>
    <t>System:</t>
  </si>
  <si>
    <t>New collectionmanager. New rpeort. Add report. Check length = 1.</t>
  </si>
  <si>
    <t>Add a report to new collection manager.</t>
  </si>
  <si>
    <t>Unit</t>
  </si>
  <si>
    <t>CommandLineHandler (on exception do XX);</t>
  </si>
  <si>
    <t>SystemManager</t>
  </si>
  <si>
    <t>So we can call the dashboard files separately in turn.</t>
  </si>
  <si>
    <t>State of report:</t>
  </si>
  <si>
    <t>SIMS Report Name</t>
  </si>
  <si>
    <t>Our Name</t>
  </si>
  <si>
    <t>Parameter Tag</t>
  </si>
  <si>
    <t>Parameter Values</t>
  </si>
  <si>
    <t>Last Success</t>
  </si>
  <si>
    <t>Last Time Taken</t>
  </si>
  <si>
    <t>Average Time Taken</t>
  </si>
  <si>
    <t>Last Fail</t>
  </si>
  <si>
    <t>Success?</t>
  </si>
  <si>
    <t>ErrorVal</t>
  </si>
  <si>
    <t>Replace with Monthly, Weekly etc.</t>
  </si>
  <si>
    <t>ID</t>
  </si>
  <si>
    <t>DateStamp</t>
  </si>
  <si>
    <t>Intended Outcome</t>
  </si>
  <si>
    <t>Log Value</t>
  </si>
  <si>
    <t>Export Rubberduck (find details using object explorer) TODO, and error log.</t>
  </si>
  <si>
    <t>LastDate ThisWBClosedand Saved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</si>
</sst>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yyyy\-mm\-dd;@"/>
  </numFmts>
  <fonts count="28" x14ac:knownFonts="1">
    <font>
      <sz val="11"/>
      <color theme="1"/>
      <name val="Calibri"/>
      <family val="2"/>
      <scheme val="minor"/>
    </font>
    <font>
      <b/>
      <sz val="11"/>
      <color theme="1"/>
      <name val="Calibri"/>
      <family val="2"/>
      <scheme val="minor"/>
    </font>
    <font>
      <sz val="11"/>
      <color rgb="FF000000"/>
      <name val="Calibri"/>
      <family val="2"/>
    </font>
    <font>
      <sz val="8"/>
      <color rgb="FF000000"/>
      <name val="Tahoma"/>
      <family val="2"/>
    </font>
    <font>
      <sz val="9"/>
      <color indexed="81"/>
      <name val="Tahoma"/>
      <family val="2"/>
    </font>
    <font>
      <b/>
      <sz val="11"/>
      <color theme="0" tint="-0.499984740745262"/>
      <name val="Calibri"/>
      <family val="2"/>
      <scheme val="minor"/>
    </font>
    <font>
      <b/>
      <sz val="11"/>
      <name val="Calibri"/>
      <family val="2"/>
      <scheme val="minor"/>
    </font>
    <font>
      <u/>
      <sz val="11"/>
      <color theme="10"/>
      <name val="Calibri"/>
      <family val="2"/>
      <scheme val="minor"/>
    </font>
    <font>
      <sz val="11"/>
      <name val="Calibri"/>
      <family val="2"/>
      <scheme val="minor"/>
    </font>
    <font>
      <b/>
      <sz val="10"/>
      <color rgb="FF005F89"/>
      <name val="Arial"/>
      <family val="2"/>
    </font>
    <font>
      <sz val="11"/>
      <color rgb="FF7F7F7F"/>
      <name val="Calibri"/>
      <family val="2"/>
      <scheme val="minor"/>
    </font>
    <font>
      <b/>
      <sz val="10"/>
      <color rgb="FF7F7F7F"/>
      <name val="Arial"/>
      <family val="2"/>
    </font>
    <font>
      <sz val="10"/>
      <color rgb="FF7F7F7F"/>
      <name val="Arial"/>
      <family val="2"/>
    </font>
    <font>
      <b/>
      <sz val="10"/>
      <color rgb="FF747678"/>
      <name val="Arial"/>
      <family val="2"/>
    </font>
    <font>
      <sz val="10"/>
      <color rgb="FF333333"/>
      <name val="Arial"/>
      <family val="2"/>
    </font>
    <font>
      <sz val="10"/>
      <color rgb="FF747678"/>
      <name val="Arial"/>
      <family val="2"/>
    </font>
    <font>
      <sz val="10"/>
      <color theme="1"/>
      <name val="Arial"/>
      <family val="2"/>
    </font>
    <font>
      <b/>
      <u/>
      <sz val="11"/>
      <color theme="1"/>
      <name val="Calibri"/>
      <family val="2"/>
      <scheme val="minor"/>
    </font>
    <font>
      <b/>
      <sz val="11"/>
      <color rgb="FF00B050"/>
      <name val="Calibri"/>
      <family val="2"/>
      <scheme val="minor"/>
    </font>
    <font>
      <sz val="11"/>
      <color theme="5" tint="-0.249977111117893"/>
      <name val="Calibri"/>
      <family val="2"/>
      <scheme val="minor"/>
    </font>
    <font>
      <sz val="11"/>
      <color theme="3" tint="0.39997558519241921"/>
      <name val="Calibri"/>
      <family val="2"/>
      <scheme val="minor"/>
    </font>
    <font>
      <sz val="11"/>
      <color rgb="FFFF0000"/>
      <name val="Calibri"/>
      <family val="2"/>
      <scheme val="minor"/>
    </font>
    <font>
      <b/>
      <sz val="10"/>
      <color theme="1"/>
      <name val="Verdana"/>
      <family val="2"/>
    </font>
    <font>
      <b/>
      <sz val="11"/>
      <color rgb="FFFF0000"/>
      <name val="Calibri"/>
      <family val="2"/>
      <scheme val="minor"/>
    </font>
    <font>
      <sz val="8"/>
      <color theme="1"/>
      <name val="Calibri"/>
      <family val="2"/>
      <scheme val="minor"/>
    </font>
    <font>
      <b/>
      <sz val="11"/>
      <color theme="0" tint="-4.9989318521683403E-2"/>
      <name val="Calibri"/>
      <family val="2"/>
      <scheme val="minor"/>
    </font>
    <font>
      <b/>
      <sz val="8"/>
      <color theme="0" tint="-4.9989318521683403E-2"/>
      <name val="Calibri"/>
      <family val="2"/>
      <scheme val="minor"/>
    </font>
    <font>
      <b/>
      <sz val="14"/>
      <color theme="1"/>
      <name val="Calibri"/>
      <family val="2"/>
      <scheme val="minor"/>
    </font>
  </fonts>
  <fills count="9">
    <fill>
      <patternFill patternType="none"/>
    </fill>
    <fill>
      <patternFill patternType="gray125"/>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77111117893"/>
        <bgColor indexed="64"/>
      </patternFill>
    </fill>
  </fills>
  <borders count="12">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right style="thin">
        <color indexed="64"/>
      </right>
      <top/>
      <bottom/>
      <diagonal/>
    </border>
  </borders>
  <cellStyleXfs count="2">
    <xf numFmtId="0" fontId="0" fillId="0" borderId="0"/>
    <xf numFmtId="0" fontId="7" fillId="0" borderId="0" applyNumberFormat="0" applyFill="0" applyBorder="0" applyAlignment="0" applyProtection="0"/>
  </cellStyleXfs>
  <cellXfs count="72">
    <xf numFmtId="0" fontId="0" fillId="0" borderId="0" xfId="0"/>
    <xf numFmtId="0" fontId="1" fillId="0" borderId="0" xfId="0" applyFont="1"/>
    <xf numFmtId="0" fontId="0" fillId="2" borderId="3" xfId="0" applyFill="1" applyBorder="1"/>
    <xf numFmtId="0" fontId="5" fillId="0" borderId="0" xfId="0" applyFont="1"/>
    <xf numFmtId="0" fontId="1" fillId="0" borderId="0" xfId="0" applyFont="1" applyFill="1"/>
    <xf numFmtId="0" fontId="0" fillId="0" borderId="0" xfId="0" applyFill="1"/>
    <xf numFmtId="0" fontId="0" fillId="2" borderId="4" xfId="0" applyFill="1" applyBorder="1" applyAlignment="1">
      <alignment horizontal="center"/>
    </xf>
    <xf numFmtId="164" fontId="0" fillId="0" borderId="0" xfId="0" applyNumberFormat="1"/>
    <xf numFmtId="0" fontId="0" fillId="2" borderId="5" xfId="0" applyFill="1" applyBorder="1" applyAlignment="1">
      <alignment horizontal="center" vertical="top" wrapText="1"/>
    </xf>
    <xf numFmtId="0" fontId="0" fillId="0" borderId="0" xfId="0" applyBorder="1" applyAlignment="1">
      <alignment horizontal="center"/>
    </xf>
    <xf numFmtId="0" fontId="7" fillId="2" borderId="3" xfId="1" applyFill="1" applyBorder="1"/>
    <xf numFmtId="0" fontId="6" fillId="0" borderId="0" xfId="0" applyFont="1"/>
    <xf numFmtId="0" fontId="8" fillId="2" borderId="0" xfId="0" applyFont="1" applyFill="1" applyBorder="1" applyAlignment="1">
      <alignment horizontal="left"/>
    </xf>
    <xf numFmtId="0" fontId="0" fillId="0" borderId="0" xfId="0" applyAlignment="1">
      <alignment horizontal="right"/>
    </xf>
    <xf numFmtId="0" fontId="0" fillId="2" borderId="4" xfId="0" applyFill="1" applyBorder="1"/>
    <xf numFmtId="0" fontId="0" fillId="2" borderId="5" xfId="0" applyFill="1" applyBorder="1"/>
    <xf numFmtId="164" fontId="0" fillId="2" borderId="5" xfId="0" applyNumberFormat="1" applyFill="1" applyBorder="1"/>
    <xf numFmtId="0" fontId="0" fillId="2" borderId="6" xfId="0" applyFill="1" applyBorder="1"/>
    <xf numFmtId="0" fontId="0" fillId="0" borderId="0" xfId="0" applyAlignment="1">
      <alignment wrapText="1"/>
    </xf>
    <xf numFmtId="0" fontId="0" fillId="0" borderId="0" xfId="0" quotePrefix="1" applyAlignment="1">
      <alignment wrapText="1"/>
    </xf>
    <xf numFmtId="0" fontId="8" fillId="0" borderId="0" xfId="0" applyFont="1" applyFill="1" applyAlignment="1">
      <alignment wrapText="1"/>
    </xf>
    <xf numFmtId="0" fontId="0" fillId="0" borderId="0" xfId="0" applyAlignment="1">
      <alignment vertical="top"/>
    </xf>
    <xf numFmtId="0" fontId="0" fillId="0" borderId="0" xfId="0" applyFont="1" applyFill="1" applyAlignment="1">
      <alignment vertical="top"/>
    </xf>
    <xf numFmtId="0" fontId="8" fillId="2" borderId="3" xfId="0" applyFont="1" applyFill="1" applyBorder="1"/>
    <xf numFmtId="0" fontId="0" fillId="0" borderId="0" xfId="0" applyAlignment="1">
      <alignment vertical="center" wrapText="1"/>
    </xf>
    <xf numFmtId="0" fontId="9" fillId="0" borderId="0" xfId="0" applyFont="1" applyAlignment="1">
      <alignment vertical="center" wrapText="1"/>
    </xf>
    <xf numFmtId="0" fontId="10" fillId="0" borderId="0" xfId="0" applyFont="1" applyAlignment="1">
      <alignment vertical="center" wrapText="1"/>
    </xf>
    <xf numFmtId="0" fontId="11" fillId="0" borderId="0" xfId="0" applyFont="1" applyAlignment="1">
      <alignment vertical="center" wrapText="1"/>
    </xf>
    <xf numFmtId="0" fontId="13" fillId="0" borderId="0" xfId="0" applyFont="1" applyAlignment="1">
      <alignment vertical="center" wrapText="1"/>
    </xf>
    <xf numFmtId="0" fontId="7" fillId="0" borderId="0" xfId="1" applyAlignment="1">
      <alignment vertical="center" wrapText="1"/>
    </xf>
    <xf numFmtId="0" fontId="14" fillId="0" borderId="0" xfId="0" applyFont="1" applyAlignment="1">
      <alignment vertical="center" wrapText="1"/>
    </xf>
    <xf numFmtId="0" fontId="9" fillId="0" borderId="7" xfId="0" applyFont="1" applyBorder="1" applyAlignment="1">
      <alignment vertical="center" wrapText="1"/>
    </xf>
    <xf numFmtId="0" fontId="10" fillId="0" borderId="8" xfId="0" applyFont="1" applyBorder="1" applyAlignment="1">
      <alignment vertical="center" wrapText="1"/>
    </xf>
    <xf numFmtId="0" fontId="11" fillId="0" borderId="8" xfId="0" applyFont="1" applyBorder="1" applyAlignment="1">
      <alignment vertical="center" wrapText="1"/>
    </xf>
    <xf numFmtId="0" fontId="7" fillId="0" borderId="8" xfId="1" applyBorder="1" applyAlignment="1">
      <alignment vertical="center" wrapText="1"/>
    </xf>
    <xf numFmtId="0" fontId="9" fillId="0" borderId="8" xfId="0" applyFont="1" applyBorder="1" applyAlignment="1">
      <alignment vertical="center" wrapText="1"/>
    </xf>
    <xf numFmtId="0" fontId="13" fillId="0" borderId="8" xfId="0" applyFont="1" applyBorder="1" applyAlignment="1">
      <alignment vertical="center" wrapText="1"/>
    </xf>
    <xf numFmtId="0" fontId="7" fillId="0" borderId="9" xfId="1" applyBorder="1" applyAlignment="1">
      <alignment vertical="center" wrapText="1"/>
    </xf>
    <xf numFmtId="0" fontId="1" fillId="0" borderId="0" xfId="0" applyFont="1" applyAlignment="1">
      <alignment horizontal="right"/>
    </xf>
    <xf numFmtId="164" fontId="1" fillId="2" borderId="5" xfId="0" applyNumberFormat="1" applyFont="1" applyFill="1" applyBorder="1"/>
    <xf numFmtId="0" fontId="17" fillId="0" borderId="0" xfId="0" applyFont="1"/>
    <xf numFmtId="0" fontId="0" fillId="3" borderId="0" xfId="0" applyFill="1"/>
    <xf numFmtId="0" fontId="0" fillId="4" borderId="0" xfId="0" applyFill="1"/>
    <xf numFmtId="0" fontId="0" fillId="2" borderId="0" xfId="0" applyFill="1"/>
    <xf numFmtId="0" fontId="0" fillId="5" borderId="0" xfId="0" applyFill="1"/>
    <xf numFmtId="0" fontId="0" fillId="3" borderId="5" xfId="0" applyFill="1" applyBorder="1"/>
    <xf numFmtId="0" fontId="0" fillId="6" borderId="0" xfId="0" applyFill="1"/>
    <xf numFmtId="0" fontId="18" fillId="0" borderId="3" xfId="0" applyFont="1" applyBorder="1" applyAlignment="1">
      <alignment horizontal="center"/>
    </xf>
    <xf numFmtId="0" fontId="0" fillId="7" borderId="1" xfId="0" applyFill="1" applyBorder="1"/>
    <xf numFmtId="0" fontId="0" fillId="7" borderId="2" xfId="0" applyNumberFormat="1" applyFill="1" applyBorder="1"/>
    <xf numFmtId="0" fontId="0" fillId="7" borderId="3" xfId="0" applyFill="1" applyBorder="1" applyAlignment="1">
      <alignment horizontal="right"/>
    </xf>
    <xf numFmtId="164" fontId="0" fillId="2" borderId="10" xfId="0" applyNumberFormat="1" applyFill="1" applyBorder="1"/>
    <xf numFmtId="0" fontId="0" fillId="0" borderId="0" xfId="0" applyFill="1" applyBorder="1" applyAlignment="1">
      <alignment horizontal="right"/>
    </xf>
    <xf numFmtId="0" fontId="21" fillId="0" borderId="0" xfId="0" applyFont="1"/>
    <xf numFmtId="0" fontId="18" fillId="0" borderId="3" xfId="0" applyFont="1" applyBorder="1" applyAlignment="1">
      <alignment horizontal="center" wrapText="1"/>
    </xf>
    <xf numFmtId="0" fontId="23" fillId="0" borderId="3" xfId="0" applyFont="1" applyBorder="1" applyAlignment="1">
      <alignment horizontal="center"/>
    </xf>
    <xf numFmtId="0" fontId="22" fillId="0" borderId="0" xfId="0" applyFont="1"/>
    <xf numFmtId="0" fontId="24" fillId="2" borderId="5" xfId="0" applyFont="1" applyFill="1" applyBorder="1" applyAlignment="1">
      <alignment horizontal="center" vertical="top" wrapText="1"/>
    </xf>
    <xf numFmtId="0" fontId="24" fillId="0" borderId="0" xfId="0" applyFont="1"/>
    <xf numFmtId="0" fontId="0" fillId="0" borderId="0" xfId="0" applyAlignment="1">
      <alignment horizontal="center" vertical="center"/>
    </xf>
    <xf numFmtId="0" fontId="25" fillId="8" borderId="0" xfId="0" applyFont="1" applyFill="1" applyAlignment="1">
      <alignment horizontal="center" vertical="center" wrapText="1"/>
    </xf>
    <xf numFmtId="0" fontId="26" fillId="8" borderId="0" xfId="0" applyFont="1" applyFill="1" applyAlignment="1">
      <alignment horizontal="center" vertical="center" wrapText="1"/>
    </xf>
    <xf numFmtId="0" fontId="18" fillId="0" borderId="10" xfId="0" applyFont="1" applyBorder="1" applyAlignment="1">
      <alignment horizontal="center" wrapText="1"/>
    </xf>
    <xf numFmtId="0" fontId="0" fillId="2" borderId="5" xfId="0" applyFill="1" applyBorder="1" applyAlignment="1">
      <alignment horizontal="center" wrapText="1"/>
    </xf>
    <xf numFmtId="0" fontId="24" fillId="2" borderId="11" xfId="0" applyFont="1" applyFill="1" applyBorder="1" applyAlignment="1">
      <alignment wrapText="1"/>
    </xf>
    <xf numFmtId="0" fontId="27" fillId="7" borderId="3" xfId="0" applyFont="1" applyFill="1" applyBorder="1" applyAlignment="1">
      <alignment horizontal="center" vertical="center"/>
    </xf>
    <xf numFmtId="0" fontId="6" fillId="0" borderId="0" xfId="0" applyFont="1" applyBorder="1" applyAlignment="1">
      <alignment horizontal="center"/>
    </xf>
    <xf numFmtId="0" fontId="1" fillId="0" borderId="0" xfId="0" applyFont="1" applyAlignment="1">
      <alignment horizontal="left"/>
    </xf>
    <xf numFmtId="0" fontId="14" fillId="0" borderId="0" xfId="0" applyFont="1" applyAlignment="1">
      <alignment vertical="center" wrapText="1"/>
    </xf>
    <xf numFmtId="0" fontId="16" fillId="0" borderId="0" xfId="0" applyFont="1" applyAlignment="1">
      <alignment vertical="center" wrapText="1"/>
    </xf>
    <xf numFmtId="0" fontId="7" fillId="0" borderId="0" xfId="1" applyAlignment="1">
      <alignment vertical="center" wrapText="1"/>
    </xf>
    <xf numFmtId="22" fontId="0" fillId="0" borderId="0" xfId="0" applyNumberFormat="1"/>
  </cellXfs>
  <cellStyles count="2">
    <cellStyle name="Hyperlink" xfId="1" builtinId="8"/>
    <cellStyle name="Normal" xfId="0" builtinId="0"/>
  </cellStyles>
  <dxfs count="2">
    <dxf>
      <fill>
        <patternFill>
          <bgColor rgb="FF00B0F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solidFill>
                  <a:srgbClr val="00B050"/>
                </a:solidFill>
              </a:defRPr>
            </a:pPr>
            <a:r>
              <a:rPr lang="en-US">
                <a:solidFill>
                  <a:srgbClr val="00B050"/>
                </a:solidFill>
              </a:rPr>
              <a:t>Incidents by Subject</a:t>
            </a:r>
            <a:r>
              <a:rPr lang="en-US" baseline="0">
                <a:solidFill>
                  <a:srgbClr val="00B050"/>
                </a:solidFill>
              </a:rPr>
              <a:t> this week (last 7 days)</a:t>
            </a:r>
            <a:endParaRPr lang="en-US">
              <a:solidFill>
                <a:srgbClr val="00B050"/>
              </a:solidFill>
            </a:endParaRPr>
          </a:p>
        </c:rich>
      </c:tx>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spPr>
          <a:solidFill>
            <a:srgbClr val="00B050"/>
          </a:solidFill>
        </c:spPr>
        <c:marker>
          <c:symbol val="none"/>
        </c:marker>
      </c:pivotFmt>
      <c:pivotFmt>
        <c:idx val="64"/>
        <c:spPr>
          <a:solidFill>
            <a:srgbClr val="00B050"/>
          </a:solidFill>
        </c:spPr>
        <c:marker>
          <c:symbol val="none"/>
        </c:marker>
      </c:pivotFmt>
      <c:pivotFmt>
        <c:idx val="65"/>
        <c:spPr>
          <a:solidFill>
            <a:srgbClr val="00B050"/>
          </a:solidFill>
        </c:spPr>
        <c:marker>
          <c:symbol val="none"/>
        </c:marker>
      </c:pivotFmt>
      <c:pivotFmt>
        <c:idx val="66"/>
        <c:spPr>
          <a:solidFill>
            <a:srgbClr val="00B050"/>
          </a:solidFill>
        </c:spPr>
        <c:marker>
          <c:symbol val="none"/>
        </c:marker>
      </c:pivotFmt>
      <c:pivotFmt>
        <c:idx val="67"/>
        <c:spPr>
          <a:solidFill>
            <a:srgbClr val="00B050"/>
          </a:solidFill>
        </c:spPr>
        <c:marker>
          <c:symbol val="none"/>
        </c:marker>
      </c:pivotFmt>
    </c:pivotFmts>
    <c:plotArea>
      <c:layout/>
      <c:barChart>
        <c:barDir val="col"/>
        <c:grouping val="clustered"/>
        <c:varyColors val="0"/>
        <c:ser>
          <c:idx val="0"/>
          <c:order val="0"/>
          <c:tx>
            <c:v>Series1</c:v>
          </c:tx>
          <c:spPr>
            <a:solidFill>
              <a:srgbClr val="00B050"/>
            </a:solidFill>
          </c:spPr>
          <c:invertIfNegative val="0"/>
          <c:cat>
            <c:strLit>
              <c:ptCount val="12"/>
              <c:pt idx="0">
                <c:v>Art</c:v>
              </c:pt>
              <c:pt idx="1">
                <c:v>Design Technology</c:v>
              </c:pt>
              <c:pt idx="2">
                <c:v>English</c:v>
              </c:pt>
              <c:pt idx="3">
                <c:v>Family Time</c:v>
              </c:pt>
              <c:pt idx="4">
                <c:v>ICT</c:v>
              </c:pt>
              <c:pt idx="5">
                <c:v>Learning Support</c:v>
              </c:pt>
              <c:pt idx="6">
                <c:v>Mathematics</c:v>
              </c:pt>
              <c:pt idx="7">
                <c:v>Music</c:v>
              </c:pt>
              <c:pt idx="8">
                <c:v>On School Site</c:v>
              </c:pt>
              <c:pt idx="9">
                <c:v>Physical Education</c:v>
              </c:pt>
              <c:pt idx="10">
                <c:v>Religious Education</c:v>
              </c:pt>
              <c:pt idx="11">
                <c:v>Science</c:v>
              </c:pt>
            </c:strLit>
          </c:cat>
          <c:val>
            <c:numLit>
              <c:formatCode>General</c:formatCode>
              <c:ptCount val="12"/>
              <c:pt idx="0">
                <c:v>9</c:v>
              </c:pt>
              <c:pt idx="1">
                <c:v>21</c:v>
              </c:pt>
              <c:pt idx="2">
                <c:v>9</c:v>
              </c:pt>
              <c:pt idx="3">
                <c:v>9</c:v>
              </c:pt>
              <c:pt idx="4">
                <c:v>3</c:v>
              </c:pt>
              <c:pt idx="5">
                <c:v>2</c:v>
              </c:pt>
              <c:pt idx="6">
                <c:v>21</c:v>
              </c:pt>
              <c:pt idx="7">
                <c:v>4</c:v>
              </c:pt>
              <c:pt idx="8">
                <c:v>7</c:v>
              </c:pt>
              <c:pt idx="9">
                <c:v>11</c:v>
              </c:pt>
              <c:pt idx="10">
                <c:v>7</c:v>
              </c:pt>
              <c:pt idx="11">
                <c:v>18</c:v>
              </c:pt>
            </c:numLit>
          </c:val>
          <c:extLst>
            <c:ext xmlns:c16="http://schemas.microsoft.com/office/drawing/2014/chart" uri="{C3380CC4-5D6E-409C-BE32-E72D297353CC}">
              <c16:uniqueId val="{00000000-5A0A-4D00-B281-9EA00F6880C9}"/>
            </c:ext>
          </c:extLst>
        </c:ser>
        <c:dLbls>
          <c:showLegendKey val="0"/>
          <c:showVal val="0"/>
          <c:showCatName val="0"/>
          <c:showSerName val="0"/>
          <c:showPercent val="0"/>
          <c:showBubbleSize val="0"/>
        </c:dLbls>
        <c:gapWidth val="45"/>
        <c:axId val="177829760"/>
        <c:axId val="177831296"/>
      </c:barChart>
      <c:catAx>
        <c:axId val="177829760"/>
        <c:scaling>
          <c:orientation val="minMax"/>
        </c:scaling>
        <c:delete val="0"/>
        <c:axPos val="b"/>
        <c:numFmt formatCode="General" sourceLinked="0"/>
        <c:majorTickMark val="out"/>
        <c:minorTickMark val="none"/>
        <c:tickLblPos val="nextTo"/>
        <c:txPr>
          <a:bodyPr rot="5400000" vert="horz"/>
          <a:lstStyle/>
          <a:p>
            <a:pPr>
              <a:defRPr sz="1600" b="1"/>
            </a:pPr>
            <a:endParaRPr lang="en-US"/>
          </a:p>
        </c:txPr>
        <c:crossAx val="177831296"/>
        <c:crosses val="autoZero"/>
        <c:auto val="1"/>
        <c:lblAlgn val="ctr"/>
        <c:lblOffset val="100"/>
        <c:tickLblSkip val="1"/>
        <c:noMultiLvlLbl val="0"/>
      </c:catAx>
      <c:valAx>
        <c:axId val="177831296"/>
        <c:scaling>
          <c:orientation val="minMax"/>
        </c:scaling>
        <c:delete val="0"/>
        <c:axPos val="l"/>
        <c:majorGridlines>
          <c:spPr>
            <a:ln>
              <a:solidFill>
                <a:schemeClr val="bg1">
                  <a:lumMod val="95000"/>
                </a:schemeClr>
              </a:solidFill>
            </a:ln>
          </c:spPr>
        </c:majorGridlines>
        <c:numFmt formatCode="General" sourceLinked="1"/>
        <c:majorTickMark val="out"/>
        <c:minorTickMark val="none"/>
        <c:tickLblPos val="nextTo"/>
        <c:crossAx val="177829760"/>
        <c:crosses val="autoZero"/>
        <c:crossBetween val="between"/>
      </c:valAx>
    </c:plotArea>
    <c:plotVisOnly val="1"/>
    <c:dispBlanksAs val="gap"/>
    <c:showDLblsOverMax val="0"/>
  </c:chart>
  <c:spPr>
    <a:solidFill>
      <a:schemeClr val="bg1">
        <a:lumMod val="85000"/>
      </a:schemeClr>
    </a:solidFill>
    <a:ln w="3175">
      <a:solidFill>
        <a:srgbClr val="FEFFFF"/>
      </a:solidFill>
      <a:prstDash val="solid"/>
    </a:ln>
    <a:effectLst>
      <a:outerShdw blurRad="107950" dist="12700" dir="5400000">
        <a:srgbClr val="000000"/>
      </a:outerShdw>
    </a:effectLst>
    <a:ex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Radio" firstButton="1" fmlaLink="$K$8"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295275</xdr:colOff>
          <xdr:row>1</xdr:row>
          <xdr:rowOff>152400</xdr:rowOff>
        </xdr:from>
        <xdr:to>
          <xdr:col>9</xdr:col>
          <xdr:colOff>1323975</xdr:colOff>
          <xdr:row>2</xdr:row>
          <xdr:rowOff>180975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Unhide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4</xdr:row>
          <xdr:rowOff>19050</xdr:rowOff>
        </xdr:from>
        <xdr:to>
          <xdr:col>9</xdr:col>
          <xdr:colOff>1323975</xdr:colOff>
          <xdr:row>5</xdr:row>
          <xdr:rowOff>66675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Restore toolbars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9</xdr:row>
          <xdr:rowOff>180975</xdr:rowOff>
        </xdr:from>
        <xdr:to>
          <xdr:col>9</xdr:col>
          <xdr:colOff>1009650</xdr:colOff>
          <xdr:row>10</xdr:row>
          <xdr:rowOff>171450</xdr:rowOff>
        </xdr:to>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Operating mode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8</xdr:row>
          <xdr:rowOff>142875</xdr:rowOff>
        </xdr:from>
        <xdr:to>
          <xdr:col>9</xdr:col>
          <xdr:colOff>1009650</xdr:colOff>
          <xdr:row>9</xdr:row>
          <xdr:rowOff>152400</xdr:rowOff>
        </xdr:to>
        <xdr:sp macro="" textlink="">
          <xdr:nvSpPr>
            <xdr:cNvPr id="2052" name="Option 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Set-up mode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276225</xdr:colOff>
          <xdr:row>5</xdr:row>
          <xdr:rowOff>161925</xdr:rowOff>
        </xdr:from>
        <xdr:to>
          <xdr:col>9</xdr:col>
          <xdr:colOff>1304925</xdr:colOff>
          <xdr:row>7</xdr:row>
          <xdr:rowOff>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Get parameters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7</xdr:row>
          <xdr:rowOff>76200</xdr:rowOff>
        </xdr:from>
        <xdr:to>
          <xdr:col>9</xdr:col>
          <xdr:colOff>790575</xdr:colOff>
          <xdr:row>8</xdr:row>
          <xdr:rowOff>114300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full</a:t>
              </a:r>
            </a:p>
          </xdr:txBody>
        </xdr:sp>
        <xdr:clientData fPrintsWithSheet="0"/>
      </xdr:twoCellAnchor>
    </mc:Choice>
    <mc:Fallback/>
  </mc:AlternateContent>
  <xdr:twoCellAnchor>
    <xdr:from>
      <xdr:col>1</xdr:col>
      <xdr:colOff>1260021</xdr:colOff>
      <xdr:row>106</xdr:row>
      <xdr:rowOff>21771</xdr:rowOff>
    </xdr:from>
    <xdr:to>
      <xdr:col>8</xdr:col>
      <xdr:colOff>1062718</xdr:colOff>
      <xdr:row>133</xdr:row>
      <xdr:rowOff>88446</xdr:rowOff>
    </xdr:to>
    <xdr:pic>
      <xdr:nvPicPr>
        <xdr:cNvPr id="8" name="Picture 1" descr="image001">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505450" y="24732342"/>
          <a:ext cx="9858375" cy="52237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9</xdr:col>
          <xdr:colOff>857250</xdr:colOff>
          <xdr:row>7</xdr:row>
          <xdr:rowOff>66675</xdr:rowOff>
        </xdr:from>
        <xdr:to>
          <xdr:col>9</xdr:col>
          <xdr:colOff>1409700</xdr:colOff>
          <xdr:row>8</xdr:row>
          <xdr:rowOff>104775</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part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85725</xdr:colOff>
          <xdr:row>8</xdr:row>
          <xdr:rowOff>114300</xdr:rowOff>
        </xdr:from>
        <xdr:to>
          <xdr:col>10</xdr:col>
          <xdr:colOff>1857375</xdr:colOff>
          <xdr:row>11</xdr:row>
          <xdr:rowOff>142875</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test - single report CLI only</a:t>
              </a:r>
            </a:p>
          </xdr:txBody>
        </xdr:sp>
        <xdr:clientData fPrintsWithSheet="0"/>
      </xdr:twoCellAnchor>
    </mc:Choice>
    <mc:Fallback/>
  </mc:AlternateContent>
  <xdr:twoCellAnchor editAs="oneCell">
    <xdr:from>
      <xdr:col>11</xdr:col>
      <xdr:colOff>0</xdr:colOff>
      <xdr:row>22</xdr:row>
      <xdr:rowOff>67236</xdr:rowOff>
    </xdr:from>
    <xdr:to>
      <xdr:col>19</xdr:col>
      <xdr:colOff>422314</xdr:colOff>
      <xdr:row>46</xdr:row>
      <xdr:rowOff>85713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stretch>
          <a:fillRect/>
        </a:stretch>
      </xdr:blipFill>
      <xdr:spPr>
        <a:xfrm>
          <a:off x="20551588" y="4157383"/>
          <a:ext cx="5666667" cy="4590477"/>
        </a:xfrm>
        <a:prstGeom prst="rect">
          <a:avLst/>
        </a:prstGeom>
      </xdr:spPr>
    </xdr:pic>
    <xdr:clientData/>
  </xdr:twoCellAnchor>
  <xdr:twoCellAnchor>
    <xdr:from>
      <xdr:col>4</xdr:col>
      <xdr:colOff>0</xdr:colOff>
      <xdr:row>51</xdr:row>
      <xdr:rowOff>0</xdr:rowOff>
    </xdr:from>
    <xdr:to>
      <xdr:col>13</xdr:col>
      <xdr:colOff>394380</xdr:colOff>
      <xdr:row>63</xdr:row>
      <xdr:rowOff>12700</xdr:rowOff>
    </xdr:to>
    <xdr:graphicFrame macro="">
      <xdr:nvGraphicFramePr>
        <xdr:cNvPr id="12" name="Chart D1">
          <a:extLst>
            <a:ext uri="{FF2B5EF4-FFF2-40B4-BE49-F238E27FC236}">
              <a16:creationId xmlns:a16="http://schemas.microsoft.com/office/drawing/2014/main" id="{00000000-0008-0000-0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www.capita-sims.co.uk/" TargetMode="External"/><Relationship Id="rId1" Type="http://schemas.openxmlformats.org/officeDocument/2006/relationships/hyperlink" Target="mailto:nicholas.faux@capita.co.uk"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T123"/>
  <sheetViews>
    <sheetView tabSelected="1" topLeftCell="B5" zoomScale="70" zoomScaleNormal="70" workbookViewId="0">
      <selection activeCell="I14" sqref="I14"/>
    </sheetView>
  </sheetViews>
  <sheetFormatPr defaultRowHeight="15" x14ac:dyDescent="0.25"/>
  <cols>
    <col min="1" max="1" width="63.7109375" bestFit="1" customWidth="1"/>
    <col min="2" max="2" width="73.85546875" customWidth="1"/>
    <col min="3" max="3" width="67.7109375" bestFit="1" customWidth="1"/>
    <col min="5" max="5" width="14.85546875" hidden="1" customWidth="1"/>
    <col min="6" max="6" width="10.7109375" hidden="1" customWidth="1"/>
    <col min="7" max="8" width="0" hidden="1" customWidth="1"/>
    <col min="9" max="9" width="19.85546875" customWidth="1"/>
    <col min="10" max="10" width="23.28515625" customWidth="1"/>
    <col min="11" max="11" width="50.7109375" customWidth="1"/>
    <col min="12" max="12" width="12.85546875" bestFit="1" customWidth="1"/>
    <col min="15" max="15" width="11.28515625" bestFit="1" customWidth="1"/>
  </cols>
  <sheetData>
    <row r="1" spans="1:15" ht="14.45" x14ac:dyDescent="0.35">
      <c r="A1" s="1" t="s">
        <v>5</v>
      </c>
      <c r="B1" s="2" t="s">
        <v>88</v>
      </c>
      <c r="C1" s="46" t="s">
        <v>106</v>
      </c>
      <c r="D1" s="5" t="s">
        <v>76</v>
      </c>
      <c r="E1" s="1"/>
      <c r="G1" s="5"/>
      <c r="H1" s="5"/>
      <c r="I1" s="5"/>
      <c r="J1" s="5"/>
      <c r="K1" s="5"/>
    </row>
    <row r="2" spans="1:15" ht="14.45" x14ac:dyDescent="0.35">
      <c r="A2" s="1" t="s">
        <v>4</v>
      </c>
      <c r="B2" s="2" t="s">
        <v>86</v>
      </c>
      <c r="C2" s="46" t="s">
        <v>106</v>
      </c>
      <c r="F2" s="5"/>
      <c r="G2" s="5"/>
      <c r="H2" s="5"/>
      <c r="I2" s="5"/>
      <c r="J2" s="14"/>
      <c r="K2" s="5"/>
    </row>
    <row r="3" spans="1:15" x14ac:dyDescent="0.25">
      <c r="A3" s="1" t="s">
        <v>0</v>
      </c>
      <c r="B3" s="2" t="s">
        <v>87</v>
      </c>
      <c r="C3" s="43"/>
      <c r="F3" s="5"/>
      <c r="G3" s="5"/>
      <c r="H3" s="5"/>
      <c r="I3" s="5"/>
      <c r="J3" s="15"/>
      <c r="K3" t="s">
        <v>71</v>
      </c>
    </row>
    <row r="4" spans="1:15" ht="14.45" customHeight="1" x14ac:dyDescent="0.25">
      <c r="A4" s="1" t="s">
        <v>43</v>
      </c>
      <c r="B4" s="2"/>
      <c r="C4" s="43"/>
      <c r="E4" s="4"/>
      <c r="F4" s="5"/>
      <c r="G4" s="5"/>
      <c r="H4" s="5"/>
      <c r="I4" s="5"/>
      <c r="J4" s="15"/>
      <c r="K4" s="5" t="s">
        <v>142</v>
      </c>
    </row>
    <row r="5" spans="1:15" x14ac:dyDescent="0.25">
      <c r="A5" s="1" t="s">
        <v>1</v>
      </c>
      <c r="B5" s="2"/>
      <c r="C5" s="43"/>
      <c r="E5" s="5"/>
      <c r="F5" s="5"/>
      <c r="G5" s="5"/>
      <c r="H5" s="5"/>
      <c r="I5" s="5"/>
      <c r="J5" s="15"/>
      <c r="K5" s="5" t="s">
        <v>93</v>
      </c>
    </row>
    <row r="6" spans="1:15" x14ac:dyDescent="0.25">
      <c r="A6" s="1" t="s">
        <v>2</v>
      </c>
      <c r="B6" s="23" t="s">
        <v>105</v>
      </c>
      <c r="C6" s="46" t="s">
        <v>106</v>
      </c>
      <c r="F6" s="5"/>
      <c r="G6" s="5"/>
      <c r="H6" s="5"/>
      <c r="I6" s="5"/>
      <c r="J6" s="15"/>
      <c r="K6" s="5"/>
    </row>
    <row r="7" spans="1:15" x14ac:dyDescent="0.25">
      <c r="A7" s="3" t="s">
        <v>3</v>
      </c>
      <c r="B7" s="23" t="s">
        <v>92</v>
      </c>
      <c r="C7" s="43"/>
      <c r="D7" t="s">
        <v>48</v>
      </c>
      <c r="E7" s="5"/>
      <c r="F7" s="5"/>
      <c r="G7" s="5"/>
      <c r="H7" s="5"/>
      <c r="I7" s="5"/>
      <c r="J7" s="15"/>
      <c r="K7" s="5"/>
    </row>
    <row r="8" spans="1:15" x14ac:dyDescent="0.25">
      <c r="A8" s="11" t="s">
        <v>52</v>
      </c>
      <c r="B8" s="23" t="s">
        <v>108</v>
      </c>
      <c r="C8" s="46" t="s">
        <v>106</v>
      </c>
      <c r="E8" s="5"/>
      <c r="F8" s="5"/>
      <c r="G8" s="5"/>
      <c r="H8" s="5"/>
      <c r="I8" s="5"/>
      <c r="J8" s="15"/>
      <c r="K8" s="50">
        <v>2</v>
      </c>
    </row>
    <row r="9" spans="1:15" x14ac:dyDescent="0.25">
      <c r="A9" s="11" t="s">
        <v>67</v>
      </c>
      <c r="B9" s="23" t="s">
        <v>75</v>
      </c>
      <c r="C9" s="43"/>
      <c r="E9" s="5"/>
      <c r="F9" s="5"/>
      <c r="G9" s="5"/>
      <c r="H9" s="5"/>
      <c r="I9" s="5"/>
      <c r="J9" s="15"/>
    </row>
    <row r="10" spans="1:15" x14ac:dyDescent="0.25">
      <c r="A10" s="11" t="s">
        <v>65</v>
      </c>
      <c r="B10" s="23"/>
      <c r="C10" s="43"/>
      <c r="E10" s="5"/>
      <c r="F10" s="5"/>
      <c r="G10" s="5"/>
      <c r="H10" s="5"/>
      <c r="I10" s="5"/>
      <c r="J10" s="15"/>
    </row>
    <row r="11" spans="1:15" ht="14.45" x14ac:dyDescent="0.35">
      <c r="A11" s="11" t="s">
        <v>46</v>
      </c>
      <c r="B11" s="10"/>
      <c r="C11" s="43"/>
      <c r="E11" s="5"/>
      <c r="F11" s="5"/>
      <c r="G11" s="5"/>
      <c r="H11" s="5"/>
      <c r="I11" s="5"/>
      <c r="J11" s="15"/>
    </row>
    <row r="12" spans="1:15" ht="14.45" x14ac:dyDescent="0.35">
      <c r="A12" s="11" t="s">
        <v>47</v>
      </c>
      <c r="B12" s="12">
        <v>60</v>
      </c>
      <c r="C12" s="43"/>
      <c r="E12" s="5"/>
      <c r="F12" s="5"/>
      <c r="G12" s="5"/>
      <c r="H12" s="5"/>
      <c r="I12" s="5" t="s">
        <v>98</v>
      </c>
      <c r="J12" s="45" t="b">
        <v>0</v>
      </c>
    </row>
    <row r="13" spans="1:15" ht="14.45" x14ac:dyDescent="0.35">
      <c r="E13" s="5"/>
      <c r="F13" s="5"/>
      <c r="G13" s="5"/>
      <c r="H13" s="5"/>
      <c r="I13" s="5" t="s">
        <v>66</v>
      </c>
      <c r="J13" s="15" t="s">
        <v>49</v>
      </c>
    </row>
    <row r="14" spans="1:15" ht="14.45" x14ac:dyDescent="0.35">
      <c r="A14" s="66" t="s">
        <v>40</v>
      </c>
      <c r="B14" s="66"/>
      <c r="E14" s="5"/>
      <c r="F14" s="5"/>
      <c r="G14" s="5"/>
      <c r="H14" s="5"/>
      <c r="I14" s="5"/>
      <c r="J14" s="15"/>
    </row>
    <row r="15" spans="1:15" x14ac:dyDescent="0.25">
      <c r="A15" s="47" t="s">
        <v>109</v>
      </c>
      <c r="B15" s="47" t="s">
        <v>111</v>
      </c>
      <c r="C15" s="47" t="s">
        <v>123</v>
      </c>
      <c r="E15" s="5"/>
      <c r="F15" s="5"/>
      <c r="G15" s="5"/>
      <c r="H15" s="5"/>
      <c r="I15" s="38" t="s">
        <v>74</v>
      </c>
      <c r="J15" s="16">
        <f ca="1">TODAY()</f>
        <v>42741</v>
      </c>
    </row>
    <row r="16" spans="1:15" ht="14.45" customHeight="1" x14ac:dyDescent="0.25">
      <c r="A16" s="6" t="s">
        <v>91</v>
      </c>
      <c r="B16" s="6" t="s">
        <v>91</v>
      </c>
      <c r="C16" s="6" t="s">
        <v>91</v>
      </c>
      <c r="I16" s="13" t="s">
        <v>117</v>
      </c>
      <c r="J16" s="16">
        <f ca="1">TODAY()-7</f>
        <v>42734</v>
      </c>
      <c r="O16" s="7"/>
    </row>
    <row r="17" spans="1:20" x14ac:dyDescent="0.25">
      <c r="A17" s="17" t="s">
        <v>95</v>
      </c>
      <c r="B17" s="17" t="s">
        <v>95</v>
      </c>
      <c r="C17" s="17" t="s">
        <v>95</v>
      </c>
      <c r="I17" s="13" t="s">
        <v>116</v>
      </c>
      <c r="J17" s="16">
        <f ca="1">CHOOSE(WEEKDAY(TODAY(),2),TODAY()-3,TODAY()-1,TODAY()-1,TODAY()-1,TODAY()-1,TODAY()-1,TODAY()-2)</f>
        <v>42740</v>
      </c>
      <c r="L17" s="7"/>
    </row>
    <row r="18" spans="1:20" x14ac:dyDescent="0.25">
      <c r="A18" s="8" t="s">
        <v>135</v>
      </c>
      <c r="B18" s="8" t="str">
        <f ca="1">"&lt;Start&gt;" &amp; TEXT($J$19, "yyyy-mm-dd") &amp;"&lt;/Start&gt;&lt;End&gt;"&amp; TEXT( $J$15,"yyyy-mm-dd") &amp;"&lt;/End&gt;"</f>
        <v>&lt;Start&gt;2016-12-07&lt;/Start&gt;&lt;End&gt;2017-01-06&lt;/End&gt;</v>
      </c>
      <c r="C18" s="8" t="str">
        <f ca="1">"&lt;Start&gt;" &amp; TEXT($J$16, "yyyy-mm-dd") &amp;"&lt;/Start&gt;&lt;End&gt;"&amp; TEXT( $J$15,"yyyy-mm-dd") &amp;"&lt;/End&gt;"</f>
        <v>&lt;Start&gt;2016-12-30&lt;/Start&gt;&lt;End&gt;2017-01-06&lt;/End&gt;</v>
      </c>
      <c r="I18" s="38" t="s">
        <v>73</v>
      </c>
      <c r="J18" s="39">
        <f ca="1">DATE(L18, 9, 1)</f>
        <v>42614</v>
      </c>
      <c r="K18" s="48" t="s">
        <v>89</v>
      </c>
      <c r="L18" s="49">
        <f ca="1">IF(MONTH(J15)&gt;=9, YEAR(J15), YEAR(J15)-1)</f>
        <v>2016</v>
      </c>
    </row>
    <row r="19" spans="1:20" x14ac:dyDescent="0.25">
      <c r="A19" s="9"/>
      <c r="B19" s="9"/>
      <c r="I19" s="13" t="s">
        <v>115</v>
      </c>
      <c r="J19" s="16">
        <f ca="1">TODAY()-30</f>
        <v>42711</v>
      </c>
    </row>
    <row r="20" spans="1:20" x14ac:dyDescent="0.25">
      <c r="A20" s="54" t="s">
        <v>124</v>
      </c>
      <c r="B20" s="47" t="s">
        <v>125</v>
      </c>
      <c r="C20" s="47" t="s">
        <v>112</v>
      </c>
      <c r="I20" s="13" t="s">
        <v>114</v>
      </c>
      <c r="J20" s="16">
        <f ca="1">TODAY()-14</f>
        <v>42727</v>
      </c>
    </row>
    <row r="21" spans="1:20" ht="14.45" customHeight="1" x14ac:dyDescent="0.25">
      <c r="A21" s="6" t="s">
        <v>91</v>
      </c>
      <c r="B21" s="6" t="s">
        <v>91</v>
      </c>
      <c r="C21" s="6" t="s">
        <v>91</v>
      </c>
      <c r="I21" s="13" t="s">
        <v>113</v>
      </c>
      <c r="J21" s="51">
        <f ca="1">TODAY()+7</f>
        <v>42748</v>
      </c>
    </row>
    <row r="22" spans="1:20" x14ac:dyDescent="0.25">
      <c r="A22" s="17" t="s">
        <v>95</v>
      </c>
      <c r="B22" s="17" t="s">
        <v>95</v>
      </c>
      <c r="C22" s="17" t="s">
        <v>95</v>
      </c>
      <c r="L22" t="s">
        <v>129</v>
      </c>
      <c r="O22" t="s">
        <v>91</v>
      </c>
      <c r="T22" t="s">
        <v>95</v>
      </c>
    </row>
    <row r="23" spans="1:20" x14ac:dyDescent="0.25">
      <c r="A23" s="8" t="s">
        <v>94</v>
      </c>
      <c r="B23" s="8" t="str">
        <f ca="1">"&lt;Start&gt;" &amp; TEXT($J$16, "yyyy-mm-dd") &amp;"&lt;/Start&gt;&lt;End&gt;"&amp; TEXT( $J$15,"yyyy-mm-dd") &amp;"&lt;/End&gt;"</f>
        <v>&lt;Start&gt;2016-12-30&lt;/Start&gt;&lt;End&gt;2017-01-06&lt;/End&gt;</v>
      </c>
      <c r="C23" s="8" t="str">
        <f ca="1">"&lt;Start&gt;" &amp; TEXT($J$19, "yyyy-mm-dd") &amp;"&lt;/Start&gt;&lt;End&gt;"&amp; TEXT( $J$15,"yyyy-mm-dd") &amp;"&lt;/End&gt;"</f>
        <v>&lt;Start&gt;2016-12-07&lt;/Start&gt;&lt;End&gt;2017-01-06&lt;/End&gt;</v>
      </c>
    </row>
    <row r="24" spans="1:20" x14ac:dyDescent="0.25">
      <c r="I24" s="52" t="s">
        <v>120</v>
      </c>
      <c r="J24" s="45" t="b">
        <v>1</v>
      </c>
    </row>
    <row r="25" spans="1:20" x14ac:dyDescent="0.25">
      <c r="A25" s="47" t="s">
        <v>104</v>
      </c>
      <c r="B25" s="47" t="s">
        <v>97</v>
      </c>
      <c r="C25" s="47" t="s">
        <v>96</v>
      </c>
    </row>
    <row r="26" spans="1:20" x14ac:dyDescent="0.25">
      <c r="A26" s="6" t="s">
        <v>91</v>
      </c>
      <c r="B26" s="6" t="s">
        <v>91</v>
      </c>
      <c r="C26" s="6" t="s">
        <v>91</v>
      </c>
      <c r="I26" s="53" t="s">
        <v>121</v>
      </c>
    </row>
    <row r="27" spans="1:20" x14ac:dyDescent="0.25">
      <c r="A27" s="17" t="s">
        <v>95</v>
      </c>
      <c r="B27" s="17" t="s">
        <v>95</v>
      </c>
      <c r="C27" s="17" t="s">
        <v>95</v>
      </c>
    </row>
    <row r="28" spans="1:20" x14ac:dyDescent="0.25">
      <c r="A28" s="8" t="str">
        <f ca="1">"&lt;Start&gt;" &amp; TEXT($J$18, "yyyy-mm-dd") &amp;"&lt;/Start&gt;&lt;End&gt;"&amp; TEXT( $J$15,"yyyy-mm-dd") &amp;"&lt;/End&gt;"</f>
        <v>&lt;Start&gt;2016-09-01&lt;/Start&gt;&lt;End&gt;2017-01-06&lt;/End&gt;</v>
      </c>
      <c r="B28" s="8" t="str">
        <f ca="1">"&lt;Start&gt;" &amp; TEXT($J$19, "yyyy-mm-dd") &amp;"&lt;/Start&gt;&lt;End&gt;"&amp; TEXT( $J$15,"yyyy-mm-dd") &amp;"&lt;/End&gt;"</f>
        <v>&lt;Start&gt;2016-12-07&lt;/Start&gt;&lt;End&gt;2017-01-06&lt;/End&gt;</v>
      </c>
      <c r="C28" s="8" t="str">
        <f ca="1">"&lt;Start&gt;" &amp; TEXT($J$16, "yyyy-mm-dd") &amp;"&lt;/Start&gt;&lt;End&gt;"&amp; TEXT( $J$15,"yyyy-mm-dd") &amp;"&lt;/End&gt;"</f>
        <v>&lt;Start&gt;2016-12-30&lt;/Start&gt;&lt;End&gt;2017-01-06&lt;/End&gt;</v>
      </c>
    </row>
    <row r="29" spans="1:20" x14ac:dyDescent="0.25">
      <c r="A29" s="9"/>
      <c r="B29" s="9"/>
    </row>
    <row r="31" spans="1:20" x14ac:dyDescent="0.25">
      <c r="A31" s="66" t="s">
        <v>132</v>
      </c>
      <c r="B31" s="66"/>
      <c r="I31" t="s">
        <v>177</v>
      </c>
      <c r="J31" s="71">
        <v>42741.750023148146</v>
      </c>
    </row>
    <row r="32" spans="1:20" x14ac:dyDescent="0.25">
      <c r="A32" s="55" t="s">
        <v>137</v>
      </c>
      <c r="B32" s="55" t="s">
        <v>122</v>
      </c>
      <c r="C32" s="55" t="s">
        <v>126</v>
      </c>
    </row>
    <row r="33" spans="1:9" x14ac:dyDescent="0.25">
      <c r="A33" s="6" t="s">
        <v>131</v>
      </c>
      <c r="B33" s="6" t="s">
        <v>131</v>
      </c>
      <c r="C33" s="6" t="s">
        <v>131</v>
      </c>
    </row>
    <row r="34" spans="1:9" x14ac:dyDescent="0.25">
      <c r="A34" s="17" t="s">
        <v>141</v>
      </c>
      <c r="B34" s="17" t="s">
        <v>141</v>
      </c>
      <c r="C34" s="17" t="s">
        <v>141</v>
      </c>
      <c r="I34" s="56"/>
    </row>
    <row r="35" spans="1:9" x14ac:dyDescent="0.25">
      <c r="A35" s="8" t="str">
        <f ca="1">"&lt;Start&gt;" &amp; TEXT($J$19, "yyyy-mm-dd") &amp;"&lt;/Start&gt;&lt;End&gt;"&amp; TEXT( $J$15,"yyyy-mm-dd") &amp;"&lt;/End&gt;"</f>
        <v>&lt;Start&gt;2016-12-07&lt;/Start&gt;&lt;End&gt;2017-01-06&lt;/End&gt;</v>
      </c>
      <c r="B35" s="8" t="str">
        <f ca="1">"&lt;Start&gt;" &amp; TEXT($J$19, "yyyy-mm-dd") &amp;"&lt;/Start&gt;&lt;End&gt;"&amp; TEXT( $J$15,"yyyy-mm-dd") &amp;"&lt;/End&gt;"</f>
        <v>&lt;Start&gt;2016-12-07&lt;/Start&gt;&lt;End&gt;2017-01-06&lt;/End&gt;</v>
      </c>
      <c r="C35" s="8" t="str">
        <f ca="1">"&lt;Start&gt;" &amp; TEXT($J$19, "yyyy-mm-dd") &amp;"&lt;/Start&gt;&lt;End&gt;"&amp; TEXT( $J$15,"yyyy-mm-dd") &amp;"&lt;/End&gt;"</f>
        <v>&lt;Start&gt;2016-12-07&lt;/Start&gt;&lt;End&gt;2017-01-06&lt;/End&gt;</v>
      </c>
    </row>
    <row r="36" spans="1:9" x14ac:dyDescent="0.25">
      <c r="A36" s="9"/>
      <c r="B36" s="9"/>
    </row>
    <row r="37" spans="1:9" x14ac:dyDescent="0.25">
      <c r="A37" s="55" t="s">
        <v>138</v>
      </c>
      <c r="B37" s="55" t="s">
        <v>139</v>
      </c>
      <c r="C37" s="55" t="s">
        <v>140</v>
      </c>
    </row>
    <row r="38" spans="1:9" x14ac:dyDescent="0.25">
      <c r="A38" s="6" t="s">
        <v>131</v>
      </c>
      <c r="B38" s="6" t="s">
        <v>131</v>
      </c>
      <c r="C38" s="6" t="s">
        <v>131</v>
      </c>
    </row>
    <row r="39" spans="1:9" x14ac:dyDescent="0.25">
      <c r="A39" s="17" t="s">
        <v>141</v>
      </c>
      <c r="B39" s="17" t="s">
        <v>141</v>
      </c>
      <c r="C39" s="17" t="s">
        <v>141</v>
      </c>
    </row>
    <row r="40" spans="1:9" x14ac:dyDescent="0.25">
      <c r="A40" s="8" t="str">
        <f ca="1">"&lt;Start&gt;" &amp; TEXT($J$19, "yyyy-mm-dd") &amp;"&lt;/Start&gt;&lt;End&gt;"&amp; TEXT( $J$15,"yyyy-mm-dd") &amp;"&lt;/End&gt;"</f>
        <v>&lt;Start&gt;2016-12-07&lt;/Start&gt;&lt;End&gt;2017-01-06&lt;/End&gt;</v>
      </c>
      <c r="B40" s="8" t="str">
        <f ca="1">"&lt;Start&gt;" &amp; TEXT($J$19, "yyyy-mm-dd") &amp;"&lt;/Start&gt;&lt;End&gt;"&amp; TEXT( $J$15,"yyyy-mm-dd") &amp;"&lt;/End&gt;"</f>
        <v>&lt;Start&gt;2016-12-07&lt;/Start&gt;&lt;End&gt;2017-01-06&lt;/End&gt;</v>
      </c>
      <c r="C40" s="8" t="str">
        <f ca="1">"&lt;Start&gt;" &amp; TEXT($J$19, "yyyy-mm-dd") &amp;"&lt;/Start&gt;&lt;End&gt;"&amp; TEXT( $J$15,"yyyy-mm-dd") &amp;"&lt;/End&gt;"</f>
        <v>&lt;Start&gt;2016-12-07&lt;/Start&gt;&lt;End&gt;2017-01-06&lt;/End&gt;</v>
      </c>
    </row>
    <row r="42" spans="1:9" x14ac:dyDescent="0.25">
      <c r="A42" s="55" t="s">
        <v>127</v>
      </c>
      <c r="B42" s="55" t="s">
        <v>128</v>
      </c>
      <c r="C42" s="47" t="s">
        <v>136</v>
      </c>
    </row>
    <row r="43" spans="1:9" x14ac:dyDescent="0.25">
      <c r="A43" s="6" t="s">
        <v>131</v>
      </c>
      <c r="B43" s="6" t="s">
        <v>131</v>
      </c>
      <c r="C43" s="6" t="s">
        <v>131</v>
      </c>
    </row>
    <row r="44" spans="1:9" x14ac:dyDescent="0.25">
      <c r="A44" s="17" t="s">
        <v>141</v>
      </c>
      <c r="B44" s="17" t="s">
        <v>141</v>
      </c>
      <c r="C44" s="17" t="s">
        <v>141</v>
      </c>
    </row>
    <row r="45" spans="1:9" x14ac:dyDescent="0.25">
      <c r="A45" s="8" t="str">
        <f ca="1">"&lt;Start&gt;" &amp; TEXT($J$18, "yyyy-mm-dd") &amp;"&lt;/Start&gt;&lt;End&gt;"&amp; TEXT( $J$15,"yyyy-mm-dd") &amp;"&lt;/End&gt;"</f>
        <v>&lt;Start&gt;2016-09-01&lt;/Start&gt;&lt;End&gt;2017-01-06&lt;/End&gt;</v>
      </c>
      <c r="B45" s="8" t="str">
        <f ca="1">"&lt;Start&gt;" &amp; TEXT($J$19, "yyyy-mm-dd") &amp;"&lt;/Start&gt;&lt;End&gt;"&amp; TEXT( $J$15,"yyyy-mm-dd") &amp;"&lt;/End&gt;"</f>
        <v>&lt;Start&gt;2016-12-07&lt;/Start&gt;&lt;End&gt;2017-01-06&lt;/End&gt;</v>
      </c>
      <c r="C45" s="8" t="str">
        <f ca="1">"&lt;Start&gt;" &amp; TEXT($J$19, "yyyy-mm-dd") &amp;"&lt;/Start&gt;&lt;End&gt;"&amp; TEXT( $J$15,"yyyy-mm-dd") &amp;"&lt;/End&gt;"</f>
        <v>&lt;Start&gt;2016-12-07&lt;/Start&gt;&lt;End&gt;2017-01-06&lt;/End&gt;</v>
      </c>
    </row>
    <row r="46" spans="1:9" x14ac:dyDescent="0.25">
      <c r="A46" s="9"/>
      <c r="B46" s="9"/>
    </row>
    <row r="47" spans="1:9" x14ac:dyDescent="0.25">
      <c r="A47" s="1"/>
    </row>
    <row r="48" spans="1:9" x14ac:dyDescent="0.25">
      <c r="A48" s="1"/>
    </row>
    <row r="49" spans="1:15" x14ac:dyDescent="0.25">
      <c r="A49" s="67" t="s">
        <v>72</v>
      </c>
      <c r="B49" s="67"/>
      <c r="C49" s="40" t="s">
        <v>90</v>
      </c>
      <c r="L49" t="s">
        <v>130</v>
      </c>
      <c r="O49" t="s">
        <v>131</v>
      </c>
    </row>
    <row r="50" spans="1:15" ht="45" x14ac:dyDescent="0.25">
      <c r="A50" s="21" t="s">
        <v>6</v>
      </c>
      <c r="B50" s="18" t="s">
        <v>53</v>
      </c>
      <c r="C50" s="43"/>
    </row>
    <row r="51" spans="1:15" x14ac:dyDescent="0.25">
      <c r="A51" s="21"/>
      <c r="B51" s="18" t="s">
        <v>54</v>
      </c>
      <c r="C51" s="43"/>
    </row>
    <row r="52" spans="1:15" ht="30" x14ac:dyDescent="0.25">
      <c r="A52" s="21"/>
      <c r="B52" s="18" t="s">
        <v>8</v>
      </c>
      <c r="C52" s="42"/>
    </row>
    <row r="53" spans="1:15" x14ac:dyDescent="0.25">
      <c r="A53" s="21"/>
      <c r="B53" s="18"/>
    </row>
    <row r="54" spans="1:15" ht="30" x14ac:dyDescent="0.25">
      <c r="A54" s="21" t="s">
        <v>41</v>
      </c>
      <c r="B54" s="18" t="s">
        <v>55</v>
      </c>
      <c r="C54" s="44"/>
    </row>
    <row r="55" spans="1:15" ht="30" x14ac:dyDescent="0.25">
      <c r="A55" s="21"/>
      <c r="B55" s="18" t="s">
        <v>56</v>
      </c>
      <c r="C55" s="43"/>
    </row>
    <row r="56" spans="1:15" ht="45" x14ac:dyDescent="0.25">
      <c r="A56" s="21"/>
      <c r="B56" s="18" t="s">
        <v>68</v>
      </c>
      <c r="C56" s="43"/>
    </row>
    <row r="57" spans="1:15" ht="30" x14ac:dyDescent="0.25">
      <c r="A57" s="21"/>
      <c r="B57" s="18" t="s">
        <v>69</v>
      </c>
      <c r="C57" s="44"/>
      <c r="G57" t="s">
        <v>48</v>
      </c>
    </row>
    <row r="58" spans="1:15" x14ac:dyDescent="0.25">
      <c r="A58" s="21"/>
      <c r="B58" s="19"/>
    </row>
    <row r="59" spans="1:15" ht="45" x14ac:dyDescent="0.25">
      <c r="A59" s="21" t="s">
        <v>7</v>
      </c>
      <c r="B59" s="18" t="s">
        <v>57</v>
      </c>
      <c r="C59" s="43"/>
    </row>
    <row r="60" spans="1:15" ht="45" x14ac:dyDescent="0.25">
      <c r="A60" s="21"/>
      <c r="B60" s="18" t="s">
        <v>9</v>
      </c>
      <c r="C60" s="43"/>
    </row>
    <row r="61" spans="1:15" x14ac:dyDescent="0.25">
      <c r="A61" s="21"/>
      <c r="B61" s="18" t="s">
        <v>11</v>
      </c>
      <c r="C61" s="43"/>
    </row>
    <row r="62" spans="1:15" x14ac:dyDescent="0.25">
      <c r="A62" s="21"/>
      <c r="B62" s="18" t="s">
        <v>70</v>
      </c>
      <c r="C62" s="41"/>
    </row>
    <row r="63" spans="1:15" x14ac:dyDescent="0.25">
      <c r="A63" s="21"/>
      <c r="B63" s="18"/>
    </row>
    <row r="64" spans="1:15" ht="75" x14ac:dyDescent="0.25">
      <c r="A64" s="21" t="s">
        <v>10</v>
      </c>
      <c r="B64" s="18" t="s">
        <v>99</v>
      </c>
      <c r="C64" s="43"/>
    </row>
    <row r="65" spans="1:3" x14ac:dyDescent="0.25">
      <c r="A65" s="21"/>
      <c r="B65" s="18"/>
    </row>
    <row r="66" spans="1:3" x14ac:dyDescent="0.25">
      <c r="A66" s="21" t="s">
        <v>42</v>
      </c>
      <c r="B66" s="18" t="s">
        <v>58</v>
      </c>
      <c r="C66" s="43"/>
    </row>
    <row r="67" spans="1:3" ht="35.25" customHeight="1" x14ac:dyDescent="0.25">
      <c r="A67" s="21"/>
      <c r="B67" s="18" t="s">
        <v>64</v>
      </c>
      <c r="C67" s="43"/>
    </row>
    <row r="68" spans="1:3" x14ac:dyDescent="0.25">
      <c r="A68" s="21"/>
      <c r="B68" s="18"/>
    </row>
    <row r="69" spans="1:3" x14ac:dyDescent="0.25">
      <c r="A69" s="21"/>
      <c r="B69" s="18"/>
    </row>
    <row r="70" spans="1:3" x14ac:dyDescent="0.25">
      <c r="A70" s="21" t="s">
        <v>14</v>
      </c>
      <c r="B70" s="18" t="s">
        <v>12</v>
      </c>
      <c r="C70" s="43"/>
    </row>
    <row r="71" spans="1:3" x14ac:dyDescent="0.25">
      <c r="A71" s="21"/>
      <c r="B71" s="18" t="s">
        <v>13</v>
      </c>
      <c r="C71" s="43"/>
    </row>
    <row r="72" spans="1:3" ht="30" x14ac:dyDescent="0.25">
      <c r="A72" s="21"/>
      <c r="B72" s="18" t="s">
        <v>59</v>
      </c>
      <c r="C72" s="43"/>
    </row>
    <row r="73" spans="1:3" ht="75" x14ac:dyDescent="0.25">
      <c r="A73" s="21"/>
      <c r="B73" s="18" t="s">
        <v>60</v>
      </c>
      <c r="C73" s="43"/>
    </row>
    <row r="74" spans="1:3" ht="30" x14ac:dyDescent="0.25">
      <c r="A74" s="21"/>
      <c r="B74" s="18" t="s">
        <v>61</v>
      </c>
      <c r="C74" s="43"/>
    </row>
    <row r="75" spans="1:3" x14ac:dyDescent="0.25">
      <c r="A75" s="21"/>
      <c r="B75" s="18"/>
    </row>
    <row r="76" spans="1:3" ht="30" x14ac:dyDescent="0.25">
      <c r="A76" s="21" t="s">
        <v>15</v>
      </c>
      <c r="B76" s="18" t="s">
        <v>16</v>
      </c>
      <c r="C76" s="41"/>
    </row>
    <row r="77" spans="1:3" ht="60" x14ac:dyDescent="0.25">
      <c r="A77" s="21"/>
      <c r="B77" s="18" t="s">
        <v>17</v>
      </c>
      <c r="C77" s="41"/>
    </row>
    <row r="78" spans="1:3" ht="30" x14ac:dyDescent="0.25">
      <c r="A78" s="21"/>
      <c r="B78" s="18" t="s">
        <v>18</v>
      </c>
      <c r="C78" s="41"/>
    </row>
    <row r="79" spans="1:3" x14ac:dyDescent="0.25">
      <c r="A79" s="21"/>
      <c r="B79" s="18" t="s">
        <v>19</v>
      </c>
      <c r="C79" s="41"/>
    </row>
    <row r="80" spans="1:3" x14ac:dyDescent="0.25">
      <c r="A80" s="21"/>
      <c r="B80" s="18"/>
    </row>
    <row r="81" spans="1:3" ht="45" x14ac:dyDescent="0.25">
      <c r="A81" s="21" t="s">
        <v>20</v>
      </c>
      <c r="B81" s="18" t="s">
        <v>21</v>
      </c>
      <c r="C81" s="41"/>
    </row>
    <row r="82" spans="1:3" ht="30" x14ac:dyDescent="0.25">
      <c r="A82" s="21"/>
      <c r="B82" s="18" t="s">
        <v>22</v>
      </c>
      <c r="C82" s="41"/>
    </row>
    <row r="83" spans="1:3" x14ac:dyDescent="0.25">
      <c r="A83" s="21"/>
      <c r="B83" s="18" t="s">
        <v>23</v>
      </c>
      <c r="C83" s="41"/>
    </row>
    <row r="84" spans="1:3" x14ac:dyDescent="0.25">
      <c r="A84" s="21"/>
      <c r="B84" s="18" t="s">
        <v>24</v>
      </c>
      <c r="C84" s="41"/>
    </row>
    <row r="85" spans="1:3" ht="45" x14ac:dyDescent="0.25">
      <c r="A85" s="21"/>
      <c r="B85" s="18" t="s">
        <v>62</v>
      </c>
      <c r="C85" s="41"/>
    </row>
    <row r="86" spans="1:3" ht="30" x14ac:dyDescent="0.25">
      <c r="A86" s="21"/>
      <c r="B86" s="18" t="s">
        <v>63</v>
      </c>
      <c r="C86" s="41"/>
    </row>
    <row r="87" spans="1:3" x14ac:dyDescent="0.25">
      <c r="A87" s="21"/>
      <c r="B87" s="18" t="s">
        <v>50</v>
      </c>
      <c r="C87" s="41"/>
    </row>
    <row r="88" spans="1:3" ht="30" x14ac:dyDescent="0.25">
      <c r="A88" s="21"/>
      <c r="B88" s="18" t="s">
        <v>51</v>
      </c>
      <c r="C88" s="41"/>
    </row>
    <row r="89" spans="1:3" x14ac:dyDescent="0.25">
      <c r="A89" s="21"/>
      <c r="B89" s="18"/>
    </row>
    <row r="90" spans="1:3" x14ac:dyDescent="0.25">
      <c r="A90" s="21" t="s">
        <v>25</v>
      </c>
      <c r="B90" s="18" t="s">
        <v>26</v>
      </c>
      <c r="C90" s="43"/>
    </row>
    <row r="91" spans="1:3" ht="30" x14ac:dyDescent="0.25">
      <c r="A91" s="21"/>
      <c r="B91" s="18" t="s">
        <v>27</v>
      </c>
      <c r="C91" s="43"/>
    </row>
    <row r="92" spans="1:3" x14ac:dyDescent="0.25">
      <c r="A92" s="21"/>
      <c r="B92" s="18" t="s">
        <v>39</v>
      </c>
      <c r="C92" s="41"/>
    </row>
    <row r="93" spans="1:3" x14ac:dyDescent="0.25">
      <c r="A93" s="21"/>
      <c r="B93" s="18"/>
    </row>
    <row r="94" spans="1:3" ht="30" x14ac:dyDescent="0.25">
      <c r="A94" s="21" t="s">
        <v>28</v>
      </c>
      <c r="B94" s="18" t="s">
        <v>29</v>
      </c>
      <c r="C94" s="41"/>
    </row>
    <row r="95" spans="1:3" x14ac:dyDescent="0.25">
      <c r="A95" s="21"/>
      <c r="B95" s="18" t="s">
        <v>30</v>
      </c>
      <c r="C95" s="41"/>
    </row>
    <row r="96" spans="1:3" x14ac:dyDescent="0.25">
      <c r="A96" s="21"/>
      <c r="B96" s="18" t="s">
        <v>31</v>
      </c>
      <c r="C96" s="41"/>
    </row>
    <row r="97" spans="1:3" x14ac:dyDescent="0.25">
      <c r="A97" s="21"/>
      <c r="B97" s="18"/>
    </row>
    <row r="98" spans="1:3" ht="30" x14ac:dyDescent="0.25">
      <c r="A98" s="21" t="s">
        <v>32</v>
      </c>
      <c r="B98" s="18" t="s">
        <v>33</v>
      </c>
      <c r="C98" s="41"/>
    </row>
    <row r="99" spans="1:3" ht="30" x14ac:dyDescent="0.25">
      <c r="A99" s="21"/>
      <c r="B99" s="18" t="s">
        <v>34</v>
      </c>
      <c r="C99" s="41"/>
    </row>
    <row r="100" spans="1:3" x14ac:dyDescent="0.25">
      <c r="A100" s="21"/>
      <c r="B100" s="18" t="s">
        <v>35</v>
      </c>
      <c r="C100" s="41"/>
    </row>
    <row r="101" spans="1:3" x14ac:dyDescent="0.25">
      <c r="A101" s="21"/>
      <c r="B101" s="18"/>
    </row>
    <row r="102" spans="1:3" x14ac:dyDescent="0.25">
      <c r="A102" s="21" t="s">
        <v>36</v>
      </c>
      <c r="B102" s="18" t="s">
        <v>37</v>
      </c>
      <c r="C102" s="41"/>
    </row>
    <row r="103" spans="1:3" ht="30" x14ac:dyDescent="0.25">
      <c r="A103" s="21"/>
      <c r="B103" s="18" t="s">
        <v>38</v>
      </c>
      <c r="C103" s="41"/>
    </row>
    <row r="104" spans="1:3" x14ac:dyDescent="0.25">
      <c r="A104" s="21"/>
      <c r="B104" s="18"/>
    </row>
    <row r="105" spans="1:3" ht="30" x14ac:dyDescent="0.25">
      <c r="A105" s="22" t="s">
        <v>44</v>
      </c>
      <c r="B105" s="20" t="s">
        <v>45</v>
      </c>
      <c r="C105" s="41"/>
    </row>
    <row r="106" spans="1:3" x14ac:dyDescent="0.25">
      <c r="C106" s="41"/>
    </row>
    <row r="107" spans="1:3" ht="15.75" thickBot="1" x14ac:dyDescent="0.3">
      <c r="A107" t="s">
        <v>77</v>
      </c>
    </row>
    <row r="108" spans="1:3" x14ac:dyDescent="0.25">
      <c r="A108" s="31" t="s">
        <v>78</v>
      </c>
      <c r="B108" s="25"/>
    </row>
    <row r="109" spans="1:3" ht="15" customHeight="1" x14ac:dyDescent="0.25">
      <c r="A109" s="32" t="s">
        <v>79</v>
      </c>
      <c r="B109" s="26"/>
    </row>
    <row r="110" spans="1:3" x14ac:dyDescent="0.25">
      <c r="A110" s="33" t="s">
        <v>80</v>
      </c>
      <c r="B110" s="27"/>
    </row>
    <row r="111" spans="1:3" ht="15" customHeight="1" x14ac:dyDescent="0.25">
      <c r="A111" s="34" t="s">
        <v>81</v>
      </c>
      <c r="B111" s="29"/>
    </row>
    <row r="112" spans="1:3" x14ac:dyDescent="0.25">
      <c r="A112" s="35"/>
      <c r="B112" s="25"/>
    </row>
    <row r="113" spans="1:2" x14ac:dyDescent="0.25">
      <c r="A113" s="35" t="s">
        <v>82</v>
      </c>
      <c r="B113" s="25"/>
    </row>
    <row r="114" spans="1:2" x14ac:dyDescent="0.25">
      <c r="A114" s="33" t="s">
        <v>83</v>
      </c>
      <c r="B114" s="27"/>
    </row>
    <row r="115" spans="1:2" x14ac:dyDescent="0.25">
      <c r="A115" s="36" t="s">
        <v>84</v>
      </c>
      <c r="B115" s="28"/>
    </row>
    <row r="116" spans="1:2" ht="15" customHeight="1" thickBot="1" x14ac:dyDescent="0.3">
      <c r="A116" s="37" t="s">
        <v>85</v>
      </c>
      <c r="B116" s="29"/>
    </row>
    <row r="117" spans="1:2" x14ac:dyDescent="0.25">
      <c r="A117" s="68"/>
      <c r="B117" s="68"/>
    </row>
    <row r="118" spans="1:2" ht="15" customHeight="1" x14ac:dyDescent="0.25">
      <c r="A118" s="70"/>
      <c r="B118" s="70"/>
    </row>
    <row r="119" spans="1:2" x14ac:dyDescent="0.25">
      <c r="A119" s="68"/>
      <c r="B119" s="68"/>
    </row>
    <row r="120" spans="1:2" x14ac:dyDescent="0.25">
      <c r="A120" s="68"/>
      <c r="B120" s="68"/>
    </row>
    <row r="121" spans="1:2" x14ac:dyDescent="0.25">
      <c r="A121" s="68"/>
      <c r="B121" s="68"/>
    </row>
    <row r="122" spans="1:2" x14ac:dyDescent="0.25">
      <c r="A122" s="69"/>
      <c r="B122" s="69"/>
    </row>
    <row r="123" spans="1:2" x14ac:dyDescent="0.25">
      <c r="A123" s="30"/>
      <c r="B123" s="24"/>
    </row>
  </sheetData>
  <mergeCells count="9">
    <mergeCell ref="A14:B14"/>
    <mergeCell ref="A49:B49"/>
    <mergeCell ref="A121:B121"/>
    <mergeCell ref="A122:B122"/>
    <mergeCell ref="A117:B117"/>
    <mergeCell ref="A118:B118"/>
    <mergeCell ref="A119:B119"/>
    <mergeCell ref="A120:B120"/>
    <mergeCell ref="A31:B31"/>
  </mergeCells>
  <conditionalFormatting sqref="J24 J12">
    <cfRule type="cellIs" dxfId="1" priority="1" operator="equal">
      <formula>FALSE</formula>
    </cfRule>
    <cfRule type="cellIs" dxfId="0" priority="2" operator="equal">
      <formula>TRUE</formula>
    </cfRule>
  </conditionalFormatting>
  <hyperlinks>
    <hyperlink ref="A111" r:id="rId1" display="mailto:nicholas.faux@capita.co.uk"/>
    <hyperlink ref="A116" r:id="rId2" display="http://www.capita-sims.co.uk/"/>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_xludf.Unhide">
                <anchor moveWithCells="1">
                  <from>
                    <xdr:col>9</xdr:col>
                    <xdr:colOff>295275</xdr:colOff>
                    <xdr:row>1</xdr:row>
                    <xdr:rowOff>152400</xdr:rowOff>
                  </from>
                  <to>
                    <xdr:col>9</xdr:col>
                    <xdr:colOff>1323975</xdr:colOff>
                    <xdr:row>2</xdr:row>
                    <xdr:rowOff>180975</xdr:rowOff>
                  </to>
                </anchor>
              </controlPr>
            </control>
          </mc:Choice>
        </mc:AlternateContent>
        <mc:AlternateContent xmlns:mc="http://schemas.openxmlformats.org/markup-compatibility/2006">
          <mc:Choice Requires="x14">
            <control shapeId="2050" r:id="rId7" name="Button 2">
              <controlPr defaultSize="0" print="0" autoFill="0" autoPict="0" macro="[0]!Restore_toolbars">
                <anchor moveWithCells="1" sizeWithCells="1">
                  <from>
                    <xdr:col>9</xdr:col>
                    <xdr:colOff>295275</xdr:colOff>
                    <xdr:row>4</xdr:row>
                    <xdr:rowOff>19050</xdr:rowOff>
                  </from>
                  <to>
                    <xdr:col>9</xdr:col>
                    <xdr:colOff>1323975</xdr:colOff>
                    <xdr:row>5</xdr:row>
                    <xdr:rowOff>66675</xdr:rowOff>
                  </to>
                </anchor>
              </controlPr>
            </control>
          </mc:Choice>
        </mc:AlternateContent>
        <mc:AlternateContent xmlns:mc="http://schemas.openxmlformats.org/markup-compatibility/2006">
          <mc:Choice Requires="x14">
            <control shapeId="2051" r:id="rId8" name="Option Button 3">
              <controlPr defaultSize="0" autoFill="0" autoLine="0" autoPict="0">
                <anchor moveWithCells="1">
                  <from>
                    <xdr:col>9</xdr:col>
                    <xdr:colOff>57150</xdr:colOff>
                    <xdr:row>9</xdr:row>
                    <xdr:rowOff>180975</xdr:rowOff>
                  </from>
                  <to>
                    <xdr:col>9</xdr:col>
                    <xdr:colOff>1009650</xdr:colOff>
                    <xdr:row>10</xdr:row>
                    <xdr:rowOff>171450</xdr:rowOff>
                  </to>
                </anchor>
              </controlPr>
            </control>
          </mc:Choice>
        </mc:AlternateContent>
        <mc:AlternateContent xmlns:mc="http://schemas.openxmlformats.org/markup-compatibility/2006">
          <mc:Choice Requires="x14">
            <control shapeId="2052" r:id="rId9" name="Option Button 4">
              <controlPr defaultSize="0" autoFill="0" autoLine="0" autoPict="0">
                <anchor moveWithCells="1">
                  <from>
                    <xdr:col>9</xdr:col>
                    <xdr:colOff>57150</xdr:colOff>
                    <xdr:row>8</xdr:row>
                    <xdr:rowOff>142875</xdr:rowOff>
                  </from>
                  <to>
                    <xdr:col>9</xdr:col>
                    <xdr:colOff>1009650</xdr:colOff>
                    <xdr:row>9</xdr:row>
                    <xdr:rowOff>152400</xdr:rowOff>
                  </to>
                </anchor>
              </controlPr>
            </control>
          </mc:Choice>
        </mc:AlternateContent>
        <mc:AlternateContent xmlns:mc="http://schemas.openxmlformats.org/markup-compatibility/2006">
          <mc:Choice Requires="x14">
            <control shapeId="2055" r:id="rId10" name="Button 7">
              <controlPr defaultSize="0" print="0" autoFill="0" autoPict="0" macro="[0]!get_params">
                <anchor moveWithCells="1" sizeWithCells="1">
                  <from>
                    <xdr:col>9</xdr:col>
                    <xdr:colOff>276225</xdr:colOff>
                    <xdr:row>5</xdr:row>
                    <xdr:rowOff>161925</xdr:rowOff>
                  </from>
                  <to>
                    <xdr:col>9</xdr:col>
                    <xdr:colOff>1304925</xdr:colOff>
                    <xdr:row>7</xdr:row>
                    <xdr:rowOff>0</xdr:rowOff>
                  </to>
                </anchor>
              </controlPr>
            </control>
          </mc:Choice>
        </mc:AlternateContent>
        <mc:AlternateContent xmlns:mc="http://schemas.openxmlformats.org/markup-compatibility/2006">
          <mc:Choice Requires="x14">
            <control shapeId="2059" r:id="rId11" name="Button 11">
              <controlPr defaultSize="0" print="0" autoFill="0" autoPict="0" macro="[0]!run_full">
                <anchor moveWithCells="1" sizeWithCells="1">
                  <from>
                    <xdr:col>9</xdr:col>
                    <xdr:colOff>276225</xdr:colOff>
                    <xdr:row>7</xdr:row>
                    <xdr:rowOff>76200</xdr:rowOff>
                  </from>
                  <to>
                    <xdr:col>9</xdr:col>
                    <xdr:colOff>790575</xdr:colOff>
                    <xdr:row>8</xdr:row>
                    <xdr:rowOff>114300</xdr:rowOff>
                  </to>
                </anchor>
              </controlPr>
            </control>
          </mc:Choice>
        </mc:AlternateContent>
        <mc:AlternateContent xmlns:mc="http://schemas.openxmlformats.org/markup-compatibility/2006">
          <mc:Choice Requires="x14">
            <control shapeId="2061" r:id="rId12" name="Button 13">
              <controlPr defaultSize="0" print="0" autoFill="0" autoPict="0" macro="[0]!run_part">
                <anchor moveWithCells="1" sizeWithCells="1">
                  <from>
                    <xdr:col>9</xdr:col>
                    <xdr:colOff>857250</xdr:colOff>
                    <xdr:row>7</xdr:row>
                    <xdr:rowOff>66675</xdr:rowOff>
                  </from>
                  <to>
                    <xdr:col>9</xdr:col>
                    <xdr:colOff>1409700</xdr:colOff>
                    <xdr:row>8</xdr:row>
                    <xdr:rowOff>104775</xdr:rowOff>
                  </to>
                </anchor>
              </controlPr>
            </control>
          </mc:Choice>
        </mc:AlternateContent>
        <mc:AlternateContent xmlns:mc="http://schemas.openxmlformats.org/markup-compatibility/2006">
          <mc:Choice Requires="x14">
            <control shapeId="2069" r:id="rId13" name="Button 21">
              <controlPr defaultSize="0" print="0" autoFill="0" autoPict="0" macro="[0]!TestSingleReport_CLI">
                <anchor moveWithCells="1" sizeWithCells="1">
                  <from>
                    <xdr:col>10</xdr:col>
                    <xdr:colOff>85725</xdr:colOff>
                    <xdr:row>8</xdr:row>
                    <xdr:rowOff>114300</xdr:rowOff>
                  </from>
                  <to>
                    <xdr:col>10</xdr:col>
                    <xdr:colOff>1857375</xdr:colOff>
                    <xdr:row>11</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J1"/>
  <sheetViews>
    <sheetView workbookViewId="0">
      <selection activeCell="I4" sqref="I4"/>
    </sheetView>
  </sheetViews>
  <sheetFormatPr defaultRowHeight="15" x14ac:dyDescent="0.25"/>
  <cols>
    <col min="1" max="1" width="10" bestFit="1" customWidth="1"/>
    <col min="2" max="2" width="17.7109375" bestFit="1" customWidth="1"/>
    <col min="4" max="4" width="11.7109375" bestFit="1" customWidth="1"/>
    <col min="6" max="7" width="16" customWidth="1"/>
  </cols>
  <sheetData>
    <row r="1" spans="1:10" s="59" customFormat="1" ht="33.75" customHeight="1" x14ac:dyDescent="0.25">
      <c r="A1" s="60" t="s">
        <v>162</v>
      </c>
      <c r="B1" s="60" t="s">
        <v>161</v>
      </c>
      <c r="C1" s="61" t="s">
        <v>169</v>
      </c>
      <c r="D1" s="61" t="s">
        <v>170</v>
      </c>
      <c r="E1" s="61" t="s">
        <v>165</v>
      </c>
      <c r="F1" s="61" t="s">
        <v>166</v>
      </c>
      <c r="G1" s="61" t="s">
        <v>167</v>
      </c>
      <c r="H1" s="60" t="s">
        <v>168</v>
      </c>
      <c r="I1" s="60"/>
      <c r="J1" s="6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E3"/>
  <sheetViews>
    <sheetView workbookViewId="0">
      <selection activeCell="C19" sqref="C19"/>
    </sheetView>
  </sheetViews>
  <sheetFormatPr defaultColWidth="21.7109375" defaultRowHeight="15" x14ac:dyDescent="0.25"/>
  <cols>
    <col min="1" max="1" width="28" customWidth="1"/>
    <col min="2" max="2" width="35.85546875" customWidth="1"/>
    <col min="3" max="4" width="32.42578125" style="58" customWidth="1"/>
  </cols>
  <sheetData>
    <row r="1" spans="1:5" ht="18.75" x14ac:dyDescent="0.25">
      <c r="A1" s="65" t="s">
        <v>162</v>
      </c>
      <c r="B1" s="65" t="s">
        <v>161</v>
      </c>
      <c r="C1" s="65" t="s">
        <v>163</v>
      </c>
      <c r="D1" s="65" t="s">
        <v>164</v>
      </c>
      <c r="E1" s="65"/>
    </row>
    <row r="2" spans="1:5" s="18" customFormat="1" ht="30" x14ac:dyDescent="0.25">
      <c r="A2" s="62" t="s">
        <v>109</v>
      </c>
      <c r="B2" s="63" t="s">
        <v>91</v>
      </c>
      <c r="C2" s="64" t="s">
        <v>95</v>
      </c>
      <c r="D2" s="57" t="s">
        <v>135</v>
      </c>
      <c r="E2" s="19" t="s">
        <v>171</v>
      </c>
    </row>
    <row r="3" spans="1:5" ht="30" x14ac:dyDescent="0.25">
      <c r="A3" s="6" t="s">
        <v>131</v>
      </c>
      <c r="B3" s="17" t="s">
        <v>141</v>
      </c>
      <c r="C3" s="8" t="str">
        <f>"&lt;Start&gt;" &amp; TEXT($J$19, "yyyy-mm-dd") &amp;"&lt;/Start&gt;&lt;End&gt;"&amp; TEXT( $J$15,"yyyy-mm-dd") &amp;"&lt;/End&gt;"</f>
        <v>&lt;Start&gt;1900-01-00&lt;/Start&gt;&lt;End&gt;1900-01-00&lt;/End&gt;</v>
      </c>
      <c r="D3" s="19" t="s">
        <v>171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1"/>
  <sheetViews>
    <sheetView workbookViewId="0">
      <selection activeCell="F11" sqref="F11"/>
    </sheetView>
  </sheetViews>
  <sheetFormatPr defaultRowHeight="15" x14ac:dyDescent="0.25"/>
  <cols>
    <col min="2" max="2" width="29.28515625" customWidth="1"/>
    <col min="3" max="3" width="30.140625" customWidth="1"/>
  </cols>
  <sheetData>
    <row r="1" spans="1:4" x14ac:dyDescent="0.25">
      <c r="A1" t="s">
        <v>172</v>
      </c>
      <c r="B1" t="s">
        <v>173</v>
      </c>
      <c r="C1" t="s">
        <v>174</v>
      </c>
      <c r="D1" t="s">
        <v>175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5" tint="0.59999389629810485"/>
  </sheetPr>
  <dimension ref="A1:O31"/>
  <sheetViews>
    <sheetView workbookViewId="0">
      <selection activeCell="K3" sqref="K3"/>
    </sheetView>
  </sheetViews>
  <sheetFormatPr defaultRowHeight="15" x14ac:dyDescent="0.25"/>
  <sheetData>
    <row r="1" spans="1:15" x14ac:dyDescent="0.25">
      <c r="A1" s="40" t="s">
        <v>100</v>
      </c>
      <c r="M1" t="s">
        <v>152</v>
      </c>
    </row>
    <row r="2" spans="1:15" x14ac:dyDescent="0.25">
      <c r="M2" t="s">
        <v>153</v>
      </c>
      <c r="N2" t="s">
        <v>155</v>
      </c>
    </row>
    <row r="3" spans="1:15" x14ac:dyDescent="0.25">
      <c r="A3" s="43" t="s">
        <v>101</v>
      </c>
      <c r="O3" t="s">
        <v>154</v>
      </c>
    </row>
    <row r="4" spans="1:15" x14ac:dyDescent="0.25">
      <c r="A4" s="43" t="s">
        <v>102</v>
      </c>
    </row>
    <row r="5" spans="1:15" x14ac:dyDescent="0.25">
      <c r="A5" t="s">
        <v>103</v>
      </c>
    </row>
    <row r="6" spans="1:15" x14ac:dyDescent="0.25">
      <c r="A6" s="43" t="s">
        <v>107</v>
      </c>
    </row>
    <row r="7" spans="1:15" x14ac:dyDescent="0.25">
      <c r="A7" t="s">
        <v>110</v>
      </c>
      <c r="M7" t="s">
        <v>156</v>
      </c>
    </row>
    <row r="8" spans="1:15" x14ac:dyDescent="0.25">
      <c r="A8" s="5" t="s">
        <v>118</v>
      </c>
    </row>
    <row r="9" spans="1:15" x14ac:dyDescent="0.25">
      <c r="A9" s="5" t="s">
        <v>119</v>
      </c>
    </row>
    <row r="10" spans="1:15" x14ac:dyDescent="0.25">
      <c r="A10" s="5" t="s">
        <v>133</v>
      </c>
    </row>
    <row r="11" spans="1:15" x14ac:dyDescent="0.25">
      <c r="A11" s="5" t="s">
        <v>134</v>
      </c>
      <c r="M11" s="40" t="s">
        <v>143</v>
      </c>
    </row>
    <row r="12" spans="1:15" x14ac:dyDescent="0.25">
      <c r="M12" t="s">
        <v>144</v>
      </c>
    </row>
    <row r="13" spans="1:15" x14ac:dyDescent="0.25">
      <c r="A13" s="40"/>
      <c r="M13" t="s">
        <v>145</v>
      </c>
      <c r="N13" t="s">
        <v>157</v>
      </c>
    </row>
    <row r="14" spans="1:15" x14ac:dyDescent="0.25">
      <c r="A14" s="43"/>
      <c r="N14" t="s">
        <v>158</v>
      </c>
    </row>
    <row r="15" spans="1:15" x14ac:dyDescent="0.25">
      <c r="O15" t="s">
        <v>159</v>
      </c>
    </row>
    <row r="16" spans="1:15" x14ac:dyDescent="0.25">
      <c r="N16" t="s">
        <v>146</v>
      </c>
    </row>
    <row r="17" spans="1:15" x14ac:dyDescent="0.25">
      <c r="N17" t="s">
        <v>147</v>
      </c>
    </row>
    <row r="18" spans="1:15" x14ac:dyDescent="0.25">
      <c r="O18" t="s">
        <v>149</v>
      </c>
    </row>
    <row r="19" spans="1:15" x14ac:dyDescent="0.25">
      <c r="N19" t="s">
        <v>150</v>
      </c>
    </row>
    <row r="20" spans="1:15" x14ac:dyDescent="0.25">
      <c r="O20" t="s">
        <v>151</v>
      </c>
    </row>
    <row r="21" spans="1:15" x14ac:dyDescent="0.25">
      <c r="M21" t="s">
        <v>28</v>
      </c>
    </row>
    <row r="22" spans="1:15" x14ac:dyDescent="0.25">
      <c r="A22" s="40"/>
      <c r="N22" t="s">
        <v>148</v>
      </c>
    </row>
    <row r="26" spans="1:15" x14ac:dyDescent="0.25">
      <c r="M26" t="s">
        <v>176</v>
      </c>
    </row>
    <row r="31" spans="1:15" x14ac:dyDescent="0.25">
      <c r="A31" t="s">
        <v>160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
  <sheetViews>
    <sheetView workbookViewId="0">
      <selection activeCell="H6" sqref="H6"/>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Set up</vt:lpstr>
      <vt:lpstr>ReportLog</vt:lpstr>
      <vt:lpstr>ReportList</vt:lpstr>
      <vt:lpstr>SystemLog</vt:lpstr>
      <vt:lpstr>TODOs</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Fraser Rackham</dc:creator>
  <cp:lastModifiedBy>Fraser Rackham</cp:lastModifiedBy>
  <cp:lastPrinted>2016-12-16T10:42:34Z</cp:lastPrinted>
  <dcterms:created xsi:type="dcterms:W3CDTF">2014-09-01T13:25:42Z</dcterms:created>
  <dcterms:modified xsi:type="dcterms:W3CDTF">2017-01-06T18:00:02Z</dcterms:modified>
</cp:coreProperties>
</file>