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Users\frackham\Desktop\Refactored\Master Automation Tool\"/>
    </mc:Choice>
  </mc:AlternateContent>
  <bookViews>
    <workbookView xWindow="0" yWindow="0" windowWidth="20490" windowHeight="8115" activeTab="4"/>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fileRecoveryPr repairLoad="1"/>
</workbook>
</file>

<file path=xl/calcChain.xml><?xml version="1.0" encoding="utf-8"?>
<calcChain xmlns="http://schemas.openxmlformats.org/spreadsheetml/2006/main">
  <c r="C3" i="165" l="1"/>
  <c r="J21" i="21" l="1"/>
  <c r="J20" i="21"/>
  <c r="J19" i="21"/>
  <c r="J16" i="21" l="1"/>
  <c r="J15" i="21" l="1"/>
  <c r="C45" i="21" s="1"/>
  <c r="B45" i="21" l="1"/>
  <c r="B40" i="21"/>
  <c r="A40" i="21"/>
  <c r="C35" i="21"/>
  <c r="C40" i="21"/>
  <c r="A35" i="21"/>
  <c r="B35" i="21"/>
  <c r="B23" i="21"/>
  <c r="C23" i="21"/>
  <c r="B18" i="21"/>
  <c r="C18" i="21"/>
  <c r="B28" i="21"/>
  <c r="C28" i="21"/>
  <c r="L18" i="21"/>
  <c r="J18" i="21" s="1"/>
  <c r="A45" i="21" s="1"/>
  <c r="J17" i="21"/>
  <c r="A28" i="21" l="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<sst xmlns="http://schemas.openxmlformats.org/spreadsheetml/2006/main" count="238" uniqueCount="189">
  <si>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</si>
  <si>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</si>
  <si>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</si>
  <si>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</si>
  <si>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</si>
  <si>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</si>
  <si>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</si>
  <si>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</si>
  <si>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</si>
  <si>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</si>
  <si>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</si>
  <si>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</si>
  <si>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</si>
  <si>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</si>
  <si>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</si>
  <si>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</si>
  <si>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</si>
  <si>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</si>
  <si>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</si>
  <si>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</si>
  <si>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</si>
  <si>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</si>
  <si>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</si>
  <si>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</si>
  <si>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</si>
  <si>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</si>
  <si>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</si>
  <si>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</si>
  <si>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</si>
  <si>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</si>
  <si>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</si>
  <si>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</si>
  <si>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</si>
  <si>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</si>
  <si>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</si>
  <si>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</si>
  <si>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</si>
  <si>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</si>
  <si>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</si>
  <si>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</si>
  <si>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</si>
  <si>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</si>
  <si>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</si>
  <si>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</si>
  <si>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</si>
  <si>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</si>
  <si>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</si>
  <si>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</si>
  <si>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</si>
  <si>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</si>
  <si>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</si>
  <si>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</si>
  <si>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</si>
  <si>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</si>
  <si>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</si>
  <si>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</si>
  <si>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</si>
  <si>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</si>
  <si>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</si>
  <si>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</si>
  <si>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</si>
  <si>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</si>
  <si>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</si>
  <si>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</si>
  <si>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</si>
  <si>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</si>
  <si>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</si>
  <si>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</si>
  <si>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</si>
  <si>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</si>
  <si>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</si>
  <si>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</si>
  <si>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</si>
  <si>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</si>
  <si>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</si>
  <si>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</si>
  <si>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</si>
  <si>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</si>
  <si>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</si>
  <si>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</si>
  <si>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</si>
  <si>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</si>
  <si>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</si>
  <si>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</si>
  <si>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</si>
  <si>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</si>
  <si>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</si>
  <si>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</si>
  <si>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</si>
  <si>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</si>
  <si>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</si>
  <si>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</si>
  <si>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</si>
  <si>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</si>
  <si>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</si>
  <si>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</si>
  <si>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</si>
  <si>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</si>
  <si>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</si>
  <si>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</si>
  <si>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</si>
  <si>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</si>
  <si>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</si>
  <si>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</si>
  <si>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</si>
  <si>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</si>
  <si>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</si>
  <si>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idealistics</t>
  </si>
  <si>
    <t>how can people misuse dashboard? Hide all sheets etc. Test with Simon and ask him to check that it can't be messed up.</t>
  </si>
  <si>
    <t>Confidentiality notice.</t>
  </si>
  <si>
    <t>Print formatted.</t>
  </si>
  <si>
    <t>Data</t>
  </si>
  <si>
    <t>Double click event to not open formatting options OR alternative drilldown mechanism.</t>
  </si>
  <si>
    <t>Per tutor group.</t>
  </si>
  <si>
    <t>Per activity.</t>
  </si>
  <si>
    <t>ACHIEVEMENT DATA??</t>
  </si>
  <si>
    <t>datestamp outputs</t>
  </si>
  <si>
    <t>button on drilldown to jump back to dashboard. This would need to be in the worksheet code. Note that that also needs refactoring so all 9 charts call a variable.</t>
  </si>
  <si>
    <t>f.rackham@thebarlowrchigh.co.uk;s.platt@thebarlowrchigh.co.uk</t>
  </si>
  <si>
    <t>Report1 - Location this week</t>
  </si>
  <si>
    <t>Drilldown autosizes except if there are columns with lengthy text.</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</si>
  <si>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</si>
  <si>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</si>
  <si>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</si>
  <si>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</si>
  <si>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</si>
  <si>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</si>
  <si>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</si>
  <si>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</si>
  <si>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</si>
  <si>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</si>
  <si>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</si>
  <si>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</si>
  <si>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</si>
  <si>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</si>
  <si>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</si>
  <si>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</si>
  <si>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</si>
  <si>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</si>
  <si>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</si>
  <si>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</si>
  <si>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</si>
  <si>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</si>
  <si>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</si>
  <si>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</si>
  <si>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</si>
  <si>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s</t>
  </si>
  <si>
    <t>Incident Types</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</si>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</sst>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28"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1">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opLeftCell="B1" zoomScale="70" zoomScaleNormal="70" workbookViewId="0">
      <selection activeCell="B6" sqref="B6"/>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155</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118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66" t="s">
        <v>40</v>
      </c>
      <c r="B14" s="66"/>
      <c r="E14" s="5"/>
      <c r="F14" s="5"/>
      <c r="G14" s="5"/>
      <c r="H14" s="5"/>
      <c r="I14" s="5"/>
      <c r="J14" s="15"/>
    </row>
    <row r="15" spans="1:15" x14ac:dyDescent="0.25">
      <c r="A15" s="47" t="s">
        <v>119</v>
      </c>
      <c r="B15" s="47" t="s">
        <v>122</v>
      </c>
      <c r="C15" s="47" t="s">
        <v>134</v>
      </c>
      <c r="E15" s="5"/>
      <c r="F15" s="5"/>
      <c r="G15" s="5"/>
      <c r="H15" s="5"/>
      <c r="I15" s="38" t="s">
        <v>74</v>
      </c>
      <c r="J15" s="16">
        <f ca="1">TODAY()</f>
        <v>42741</v>
      </c>
    </row>
    <row r="16" spans="1:15" ht="14.45" customHeight="1" x14ac:dyDescent="0.25">
      <c r="A16" s="6" t="s">
        <v>91</v>
      </c>
      <c r="B16" s="6" t="s">
        <v>91</v>
      </c>
      <c r="C16" s="6" t="s">
        <v>91</v>
      </c>
      <c r="I16" s="13" t="s">
        <v>128</v>
      </c>
      <c r="J16" s="16">
        <f ca="1">TODAY()-7</f>
        <v>42734</v>
      </c>
      <c r="O16" s="7"/>
    </row>
    <row r="17" spans="1:20" x14ac:dyDescent="0.25">
      <c r="A17" s="17" t="s">
        <v>95</v>
      </c>
      <c r="B17" s="17" t="s">
        <v>95</v>
      </c>
      <c r="C17" s="17" t="s">
        <v>95</v>
      </c>
      <c r="I17" s="13" t="s">
        <v>127</v>
      </c>
      <c r="J17" s="16">
        <f ca="1">CHOOSE(WEEKDAY(TODAY(),2),TODAY()-3,TODAY()-1,TODAY()-1,TODAY()-1,TODAY()-1,TODAY()-1,TODAY()-2)</f>
        <v>42740</v>
      </c>
      <c r="L17" s="7"/>
    </row>
    <row r="18" spans="1:20" x14ac:dyDescent="0.25">
      <c r="A18" s="8" t="s">
        <v>148</v>
      </c>
      <c r="B18" s="8" t="str">
        <f ca="1">"&lt;Start&gt;" &amp; TEXT($J$19, "yyyy-mm-dd") &amp;"&lt;/Start&gt;&lt;End&gt;"&amp; TEXT( $J$15,"yyyy-mm-dd") &amp;"&lt;/End&gt;"</f>
        <v>&lt;Start&gt;2016-12-07&lt;/Start&gt;&lt;End&gt;2017-01-06&lt;/End&gt;</v>
      </c>
      <c r="C18" s="8" t="str">
        <f ca="1">"&lt;Start&gt;" &amp; TEXT($J$16, "yyyy-mm-dd") &amp;"&lt;/Start&gt;&lt;End&gt;"&amp; TEXT( $J$15,"yyyy-mm-dd") &amp;"&lt;/End&gt;"</f>
        <v>&lt;Start&gt;2016-12-30&lt;/Start&gt;&lt;End&gt;2017-01-06&lt;/End&gt;</v>
      </c>
      <c r="I18" s="38" t="s">
        <v>73</v>
      </c>
      <c r="J18" s="39">
        <f ca="1">DATE(L18, 9, 1)</f>
        <v>42614</v>
      </c>
      <c r="K18" s="48" t="s">
        <v>89</v>
      </c>
      <c r="L18" s="49">
        <f ca="1">IF(MONTH(J15)&gt;=9, YEAR(J15), YEAR(J15)-1)</f>
        <v>2016</v>
      </c>
    </row>
    <row r="19" spans="1:20" x14ac:dyDescent="0.25">
      <c r="A19" s="9"/>
      <c r="B19" s="9"/>
      <c r="I19" s="13" t="s">
        <v>126</v>
      </c>
      <c r="J19" s="16">
        <f ca="1">TODAY()-30</f>
        <v>42711</v>
      </c>
    </row>
    <row r="20" spans="1:20" x14ac:dyDescent="0.25">
      <c r="A20" s="54" t="s">
        <v>135</v>
      </c>
      <c r="B20" s="47" t="s">
        <v>136</v>
      </c>
      <c r="C20" s="47" t="s">
        <v>123</v>
      </c>
      <c r="I20" s="13" t="s">
        <v>125</v>
      </c>
      <c r="J20" s="16">
        <f ca="1">TODAY()-14</f>
        <v>42727</v>
      </c>
    </row>
    <row r="21" spans="1:20" ht="14.45" customHeight="1" x14ac:dyDescent="0.25">
      <c r="A21" s="6" t="s">
        <v>91</v>
      </c>
      <c r="B21" s="6" t="s">
        <v>91</v>
      </c>
      <c r="C21" s="6" t="s">
        <v>91</v>
      </c>
      <c r="I21" s="13" t="s">
        <v>124</v>
      </c>
      <c r="J21" s="51">
        <f ca="1">TODAY()+7</f>
        <v>42748</v>
      </c>
    </row>
    <row r="22" spans="1:20" x14ac:dyDescent="0.25">
      <c r="A22" s="17" t="s">
        <v>95</v>
      </c>
      <c r="B22" s="17" t="s">
        <v>95</v>
      </c>
      <c r="C22" s="17" t="s">
        <v>95</v>
      </c>
      <c r="L22" t="s">
        <v>140</v>
      </c>
      <c r="O22" t="s">
        <v>91</v>
      </c>
      <c r="T22" t="s">
        <v>95</v>
      </c>
    </row>
    <row r="23" spans="1:20" x14ac:dyDescent="0.25">
      <c r="A23" s="8" t="s">
        <v>94</v>
      </c>
      <c r="B23" s="8" t="str">
        <f ca="1">"&lt;Start&gt;" &amp; TEXT($J$16, "yyyy-mm-dd") &amp;"&lt;/Start&gt;&lt;End&gt;"&amp; TEXT( $J$15,"yyyy-mm-dd") &amp;"&lt;/End&gt;"</f>
        <v>&lt;Start&gt;2016-12-30&lt;/Start&gt;&lt;End&gt;2017-01-06&lt;/End&gt;</v>
      </c>
      <c r="C23" s="8" t="str">
        <f ca="1">"&lt;Start&gt;" &amp; TEXT($J$19, "yyyy-mm-dd") &amp;"&lt;/Start&gt;&lt;End&gt;"&amp; TEXT( $J$15,"yyyy-mm-dd") &amp;"&lt;/End&gt;"</f>
        <v>&lt;Start&gt;2016-12-07&lt;/Start&gt;&lt;End&gt;2017-01-06&lt;/End&gt;</v>
      </c>
    </row>
    <row r="24" spans="1:20" x14ac:dyDescent="0.25">
      <c r="I24" s="52" t="s">
        <v>131</v>
      </c>
      <c r="J24" s="45" t="b">
        <v>1</v>
      </c>
    </row>
    <row r="25" spans="1:20" x14ac:dyDescent="0.25">
      <c r="A25" s="47" t="s">
        <v>104</v>
      </c>
      <c r="B25" s="47" t="s">
        <v>97</v>
      </c>
      <c r="C25" s="47" t="s">
        <v>96</v>
      </c>
    </row>
    <row r="26" spans="1:20" x14ac:dyDescent="0.25">
      <c r="A26" s="6" t="s">
        <v>91</v>
      </c>
      <c r="B26" s="6" t="s">
        <v>91</v>
      </c>
      <c r="C26" s="6" t="s">
        <v>91</v>
      </c>
      <c r="I26" s="53" t="s">
        <v>132</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&lt;Start&gt;2016-09-01&lt;/Start&gt;&lt;End&gt;2017-01-06&lt;/End&gt;</v>
      </c>
      <c r="B28" s="8" t="str">
        <f ca="1">"&lt;Start&gt;" &amp; TEXT($J$19, "yyyy-mm-dd") &amp;"&lt;/Start&gt;&lt;End&gt;"&amp; TEXT( $J$15,"yyyy-mm-dd") &amp;"&lt;/End&gt;"</f>
        <v>&lt;Start&gt;2016-12-07&lt;/Start&gt;&lt;End&gt;2017-01-06&lt;/End&gt;</v>
      </c>
      <c r="C28" s="8" t="str">
        <f ca="1">"&lt;Start&gt;" &amp; TEXT($J$16, "yyyy-mm-dd") &amp;"&lt;/Start&gt;&lt;End&gt;"&amp; TEXT( $J$15,"yyyy-mm-dd") &amp;"&lt;/End&gt;"</f>
        <v>&lt;Start&gt;2016-12-30&lt;/Start&gt;&lt;End&gt;2017-01-06&lt;/End&gt;</v>
      </c>
    </row>
    <row r="29" spans="1:20" x14ac:dyDescent="0.25">
      <c r="A29" s="9"/>
      <c r="B29" s="9"/>
    </row>
    <row r="31" spans="1:20" x14ac:dyDescent="0.25">
      <c r="A31" s="66" t="s">
        <v>143</v>
      </c>
      <c r="B31" s="66"/>
    </row>
    <row r="32" spans="1:20" x14ac:dyDescent="0.25">
      <c r="A32" s="55" t="s">
        <v>150</v>
      </c>
      <c r="B32" s="55" t="s">
        <v>133</v>
      </c>
      <c r="C32" s="55" t="s">
        <v>137</v>
      </c>
    </row>
    <row r="33" spans="1:9" x14ac:dyDescent="0.25">
      <c r="A33" s="6" t="s">
        <v>142</v>
      </c>
      <c r="B33" s="6" t="s">
        <v>142</v>
      </c>
      <c r="C33" s="6" t="s">
        <v>142</v>
      </c>
    </row>
    <row r="34" spans="1:9" x14ac:dyDescent="0.25">
      <c r="A34" s="17" t="s">
        <v>154</v>
      </c>
      <c r="B34" s="17" t="s">
        <v>154</v>
      </c>
      <c r="C34" s="17" t="s">
        <v>154</v>
      </c>
      <c r="I34" s="56"/>
    </row>
    <row r="35" spans="1:9" x14ac:dyDescent="0.25">
      <c r="A35" s="8" t="str">
        <f ca="1">"&lt;Start&gt;" &amp; TEXT($J$19, "yyyy-mm-dd") &amp;"&lt;/Start&gt;&lt;End&gt;"&amp; TEXT( $J$15,"yyyy-mm-dd") &amp;"&lt;/End&gt;"</f>
        <v>&lt;Start&gt;2016-12-07&lt;/Start&gt;&lt;End&gt;2017-01-06&lt;/End&gt;</v>
      </c>
      <c r="B35" s="8" t="str">
        <f ca="1">"&lt;Start&gt;" &amp; TEXT($J$19, "yyyy-mm-dd") &amp;"&lt;/Start&gt;&lt;End&gt;"&amp; TEXT( $J$15,"yyyy-mm-dd") &amp;"&lt;/End&gt;"</f>
        <v>&lt;Start&gt;2016-12-07&lt;/Start&gt;&lt;End&gt;2017-01-06&lt;/End&gt;</v>
      </c>
      <c r="C35" s="8" t="str">
        <f ca="1">"&lt;Start&gt;" &amp; TEXT($J$19, "yyyy-mm-dd") &amp;"&lt;/Start&gt;&lt;End&gt;"&amp; TEXT( $J$15,"yyyy-mm-dd") &amp;"&lt;/End&gt;"</f>
        <v>&lt;Start&gt;2016-12-07&lt;/Start&gt;&lt;End&gt;2017-01-06&lt;/End&gt;</v>
      </c>
    </row>
    <row r="36" spans="1:9" x14ac:dyDescent="0.25">
      <c r="A36" s="9"/>
      <c r="B36" s="9"/>
    </row>
    <row r="37" spans="1:9" x14ac:dyDescent="0.25">
      <c r="A37" s="55" t="s">
        <v>151</v>
      </c>
      <c r="B37" s="55" t="s">
        <v>152</v>
      </c>
      <c r="C37" s="55" t="s">
        <v>153</v>
      </c>
    </row>
    <row r="38" spans="1:9" x14ac:dyDescent="0.25">
      <c r="A38" s="6" t="s">
        <v>142</v>
      </c>
      <c r="B38" s="6" t="s">
        <v>142</v>
      </c>
      <c r="C38" s="6" t="s">
        <v>142</v>
      </c>
    </row>
    <row r="39" spans="1:9" x14ac:dyDescent="0.25">
      <c r="A39" s="17" t="s">
        <v>154</v>
      </c>
      <c r="B39" s="17" t="s">
        <v>154</v>
      </c>
      <c r="C39" s="17" t="s">
        <v>154</v>
      </c>
    </row>
    <row r="40" spans="1:9" x14ac:dyDescent="0.25">
      <c r="A40" s="8" t="str">
        <f ca="1">"&lt;Start&gt;" &amp; TEXT($J$19, "yyyy-mm-dd") &amp;"&lt;/Start&gt;&lt;End&gt;"&amp; TEXT( $J$15,"yyyy-mm-dd") &amp;"&lt;/End&gt;"</f>
        <v>&lt;Start&gt;2016-12-07&lt;/Start&gt;&lt;End&gt;2017-01-06&lt;/End&gt;</v>
      </c>
      <c r="B40" s="8" t="str">
        <f ca="1">"&lt;Start&gt;" &amp; TEXT($J$19, "yyyy-mm-dd") &amp;"&lt;/Start&gt;&lt;End&gt;"&amp; TEXT( $J$15,"yyyy-mm-dd") &amp;"&lt;/End&gt;"</f>
        <v>&lt;Start&gt;2016-12-07&lt;/Start&gt;&lt;End&gt;2017-01-06&lt;/End&gt;</v>
      </c>
      <c r="C40" s="8" t="str">
        <f ca="1">"&lt;Start&gt;" &amp; TEXT($J$19, "yyyy-mm-dd") &amp;"&lt;/Start&gt;&lt;End&gt;"&amp; TEXT( $J$15,"yyyy-mm-dd") &amp;"&lt;/End&gt;"</f>
        <v>&lt;Start&gt;2016-12-07&lt;/Start&gt;&lt;End&gt;2017-01-06&lt;/End&gt;</v>
      </c>
    </row>
    <row r="42" spans="1:9" x14ac:dyDescent="0.25">
      <c r="A42" s="55" t="s">
        <v>138</v>
      </c>
      <c r="B42" s="55" t="s">
        <v>139</v>
      </c>
      <c r="C42" s="47" t="s">
        <v>149</v>
      </c>
    </row>
    <row r="43" spans="1:9" x14ac:dyDescent="0.25">
      <c r="A43" s="6" t="s">
        <v>142</v>
      </c>
      <c r="B43" s="6" t="s">
        <v>142</v>
      </c>
      <c r="C43" s="6" t="s">
        <v>142</v>
      </c>
    </row>
    <row r="44" spans="1:9" x14ac:dyDescent="0.25">
      <c r="A44" s="17" t="s">
        <v>154</v>
      </c>
      <c r="B44" s="17" t="s">
        <v>154</v>
      </c>
      <c r="C44" s="17" t="s">
        <v>154</v>
      </c>
    </row>
    <row r="45" spans="1:9" x14ac:dyDescent="0.25">
      <c r="A45" s="8" t="str">
        <f ca="1">"&lt;Start&gt;" &amp; TEXT($J$18, "yyyy-mm-dd") &amp;"&lt;/Start&gt;&lt;End&gt;"&amp; TEXT( $J$15,"yyyy-mm-dd") &amp;"&lt;/End&gt;"</f>
        <v>&lt;Start&gt;2016-09-01&lt;/Start&gt;&lt;End&gt;2017-01-06&lt;/End&gt;</v>
      </c>
      <c r="B45" s="8" t="str">
        <f ca="1">"&lt;Start&gt;" &amp; TEXT($J$19, "yyyy-mm-dd") &amp;"&lt;/Start&gt;&lt;End&gt;"&amp; TEXT( $J$15,"yyyy-mm-dd") &amp;"&lt;/End&gt;"</f>
        <v>&lt;Start&gt;2016-12-07&lt;/Start&gt;&lt;End&gt;2017-01-06&lt;/End&gt;</v>
      </c>
      <c r="C45" s="8" t="str">
        <f ca="1">"&lt;Start&gt;" &amp; TEXT($J$19, "yyyy-mm-dd") &amp;"&lt;/Start&gt;&lt;End&gt;"&amp; TEXT( $J$15,"yyyy-mm-dd") &amp;"&lt;/End&gt;"</f>
        <v>&lt;Start&gt;2016-12-07&lt;/Start&gt;&lt;End&gt;2017-01-06&lt;/End&gt;</v>
      </c>
    </row>
    <row r="46" spans="1:9" x14ac:dyDescent="0.25">
      <c r="A46" s="9"/>
      <c r="B46" s="9"/>
    </row>
    <row r="47" spans="1:9" x14ac:dyDescent="0.25">
      <c r="A47" s="1"/>
    </row>
    <row r="48" spans="1:9" x14ac:dyDescent="0.25">
      <c r="A48" s="1"/>
    </row>
    <row r="49" spans="1:15" x14ac:dyDescent="0.25">
      <c r="A49" s="67" t="s">
        <v>72</v>
      </c>
      <c r="B49" s="67"/>
      <c r="C49" s="40" t="s">
        <v>90</v>
      </c>
      <c r="L49" t="s">
        <v>141</v>
      </c>
      <c r="O49" t="s">
        <v>142</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68"/>
      <c r="B117" s="68"/>
    </row>
    <row r="118" spans="1:2" ht="15" customHeight="1" x14ac:dyDescent="0.25">
      <c r="A118" s="70"/>
      <c r="B118" s="70"/>
    </row>
    <row r="119" spans="1:2" x14ac:dyDescent="0.25">
      <c r="A119" s="68"/>
      <c r="B119" s="68"/>
    </row>
    <row r="120" spans="1:2" x14ac:dyDescent="0.25">
      <c r="A120" s="68"/>
      <c r="B120" s="68"/>
    </row>
    <row r="121" spans="1:2" x14ac:dyDescent="0.25">
      <c r="A121" s="68"/>
      <c r="B121" s="68"/>
    </row>
    <row r="122" spans="1:2" x14ac:dyDescent="0.25">
      <c r="A122" s="69"/>
      <c r="B122" s="69"/>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activeCell="I4" sqref="I4"/>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175</v>
      </c>
      <c r="B1" s="60" t="s">
        <v>174</v>
      </c>
      <c r="C1" s="61" t="s">
        <v>182</v>
      </c>
      <c r="D1" s="61" t="s">
        <v>183</v>
      </c>
      <c r="E1" s="61" t="s">
        <v>178</v>
      </c>
      <c r="F1" s="61" t="s">
        <v>179</v>
      </c>
      <c r="G1" s="61" t="s">
        <v>180</v>
      </c>
      <c r="H1" s="60" t="s">
        <v>181</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9" sqref="C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175</v>
      </c>
      <c r="B1" s="65" t="s">
        <v>174</v>
      </c>
      <c r="C1" s="65" t="s">
        <v>176</v>
      </c>
      <c r="D1" s="65" t="s">
        <v>177</v>
      </c>
      <c r="E1" s="65"/>
    </row>
    <row r="2" spans="1:5" s="18" customFormat="1" ht="30" x14ac:dyDescent="0.25">
      <c r="A2" s="62" t="s">
        <v>119</v>
      </c>
      <c r="B2" s="63" t="s">
        <v>91</v>
      </c>
      <c r="C2" s="64" t="s">
        <v>95</v>
      </c>
      <c r="D2" s="57" t="s">
        <v>148</v>
      </c>
      <c r="E2" s="19" t="s">
        <v>184</v>
      </c>
    </row>
    <row r="3" spans="1:5" ht="30" x14ac:dyDescent="0.25">
      <c r="A3" s="6" t="s">
        <v>142</v>
      </c>
      <c r="B3" s="17" t="s">
        <v>154</v>
      </c>
      <c r="C3" s="8" t="str">
        <f>"&lt;Start&gt;" &amp; TEXT($J$19, "yyyy-mm-dd") &amp;"&lt;/Start&gt;&lt;End&gt;"&amp; TEXT( $J$15,"yyyy-mm-dd") &amp;"&lt;/End&gt;"</f>
        <v>&lt;Start&gt;1900-01-00&lt;/Start&gt;&lt;End&gt;1900-01-00&lt;/End&gt;</v>
      </c>
      <c r="D3" s="19" t="s">
        <v>184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1"/>
  <sheetViews>
    <sheetView workbookViewId="0">
      <selection activeCell="A2" sqref="A2"/>
    </sheetView>
  </sheetViews>
  <sheetFormatPr defaultRowHeight="15" x14ac:dyDescent="0.25"/>
  <cols>
    <col min="2" max="2" width="29.28515625" customWidth="1"/>
    <col min="3" max="3" width="30.140625" customWidth="1"/>
  </cols>
  <sheetData>
    <row r="1" spans="1:4" x14ac:dyDescent="0.25">
      <c r="A1" t="s">
        <v>185</v>
      </c>
      <c r="B1" t="s">
        <v>186</v>
      </c>
      <c r="C1" t="s">
        <v>187</v>
      </c>
      <c r="D1" t="s">
        <v>188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tabSelected="1" workbookViewId="0">
      <selection activeCell="I10" sqref="I10"/>
    </sheetView>
  </sheetViews>
  <sheetFormatPr defaultRowHeight="15" x14ac:dyDescent="0.25"/>
  <sheetData>
    <row r="1" spans="1:15" x14ac:dyDescent="0.25">
      <c r="A1" s="40" t="s">
        <v>100</v>
      </c>
      <c r="M1" t="s">
        <v>165</v>
      </c>
    </row>
    <row r="2" spans="1:15" x14ac:dyDescent="0.25">
      <c r="M2" t="s">
        <v>166</v>
      </c>
      <c r="N2" t="s">
        <v>168</v>
      </c>
    </row>
    <row r="3" spans="1:15" x14ac:dyDescent="0.25">
      <c r="A3" s="43" t="s">
        <v>101</v>
      </c>
      <c r="O3" t="s">
        <v>167</v>
      </c>
    </row>
    <row r="4" spans="1:15" x14ac:dyDescent="0.25">
      <c r="A4" s="43" t="s">
        <v>102</v>
      </c>
    </row>
    <row r="5" spans="1:15" x14ac:dyDescent="0.25">
      <c r="A5" s="46" t="s">
        <v>103</v>
      </c>
    </row>
    <row r="6" spans="1:15" x14ac:dyDescent="0.25">
      <c r="A6" s="43" t="s">
        <v>116</v>
      </c>
    </row>
    <row r="7" spans="1:15" x14ac:dyDescent="0.25">
      <c r="A7" t="s">
        <v>121</v>
      </c>
      <c r="M7" t="s">
        <v>169</v>
      </c>
    </row>
    <row r="8" spans="1:15" x14ac:dyDescent="0.25">
      <c r="A8" s="46" t="s">
        <v>129</v>
      </c>
    </row>
    <row r="9" spans="1:15" x14ac:dyDescent="0.25">
      <c r="A9" s="5" t="s">
        <v>130</v>
      </c>
    </row>
    <row r="10" spans="1:15" x14ac:dyDescent="0.25">
      <c r="A10" s="5" t="s">
        <v>144</v>
      </c>
    </row>
    <row r="11" spans="1:15" x14ac:dyDescent="0.25">
      <c r="A11" s="5" t="s">
        <v>145</v>
      </c>
      <c r="M11" s="40" t="s">
        <v>156</v>
      </c>
    </row>
    <row r="12" spans="1:15" x14ac:dyDescent="0.25">
      <c r="M12" t="s">
        <v>157</v>
      </c>
    </row>
    <row r="13" spans="1:15" x14ac:dyDescent="0.25">
      <c r="A13" s="40" t="s">
        <v>111</v>
      </c>
      <c r="M13" t="s">
        <v>158</v>
      </c>
      <c r="N13" t="s">
        <v>170</v>
      </c>
    </row>
    <row r="14" spans="1:15" x14ac:dyDescent="0.25">
      <c r="A14" s="43" t="s">
        <v>114</v>
      </c>
      <c r="N14" t="s">
        <v>171</v>
      </c>
    </row>
    <row r="15" spans="1:15" x14ac:dyDescent="0.25">
      <c r="A15" t="s">
        <v>113</v>
      </c>
      <c r="O15" t="s">
        <v>172</v>
      </c>
    </row>
    <row r="16" spans="1:15" x14ac:dyDescent="0.25">
      <c r="A16" t="s">
        <v>115</v>
      </c>
      <c r="N16" t="s">
        <v>159</v>
      </c>
    </row>
    <row r="17" spans="1:15" x14ac:dyDescent="0.25">
      <c r="A17" t="s">
        <v>147</v>
      </c>
      <c r="N17" t="s">
        <v>160</v>
      </c>
    </row>
    <row r="18" spans="1:15" x14ac:dyDescent="0.25">
      <c r="A18" t="s">
        <v>146</v>
      </c>
      <c r="O18" t="s">
        <v>162</v>
      </c>
    </row>
    <row r="19" spans="1:15" x14ac:dyDescent="0.25">
      <c r="N19" t="s">
        <v>163</v>
      </c>
    </row>
    <row r="20" spans="1:15" x14ac:dyDescent="0.25">
      <c r="O20" t="s">
        <v>164</v>
      </c>
    </row>
    <row r="21" spans="1:15" x14ac:dyDescent="0.25">
      <c r="M21" t="s">
        <v>28</v>
      </c>
    </row>
    <row r="22" spans="1:15" x14ac:dyDescent="0.25">
      <c r="A22" s="40" t="s">
        <v>107</v>
      </c>
      <c r="N22" t="s">
        <v>161</v>
      </c>
    </row>
    <row r="23" spans="1:15" x14ac:dyDescent="0.25">
      <c r="A23" t="s">
        <v>117</v>
      </c>
    </row>
    <row r="24" spans="1:15" x14ac:dyDescent="0.25">
      <c r="A24" t="s">
        <v>108</v>
      </c>
    </row>
    <row r="25" spans="1:15" x14ac:dyDescent="0.25">
      <c r="A25" t="s">
        <v>109</v>
      </c>
    </row>
    <row r="26" spans="1:15" x14ac:dyDescent="0.25">
      <c r="A26" t="s">
        <v>110</v>
      </c>
    </row>
    <row r="27" spans="1:15" x14ac:dyDescent="0.25">
      <c r="A27" t="s">
        <v>112</v>
      </c>
    </row>
    <row r="28" spans="1:15" x14ac:dyDescent="0.25">
      <c r="A28" t="s">
        <v>120</v>
      </c>
    </row>
    <row r="31" spans="1:15" x14ac:dyDescent="0.25">
      <c r="A31" t="s">
        <v>173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2017-01-06T12:14:36Z</dcterms:modified>
</cp:coreProperties>
</file>